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</sheets>
  <definedNames>
    <definedName function="false" hidden="true" localSheetId="0" name="_xlnm._FilterDatabase" vbProcedure="false">Tracker!$A$1:$O$207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<sst xmlns="http://schemas.openxmlformats.org/spreadsheetml/2006/main" count="5884" uniqueCount="2885">
  <si>
    <t xml:space="preserve">#</t>
  </si>
  <si>
    <t xml:space="preserve">Region</t>
  </si>
  <si>
    <t xml:space="preserve">Country / State</t>
  </si>
  <si>
    <t xml:space="preserve">Type</t>
  </si>
  <si>
    <t xml:space="preserve">University / Body</t>
  </si>
  <si>
    <t xml:space="preserve">Incubation Centre</t>
  </si>
  <si>
    <t xml:space="preserve">Named Contact</t>
  </si>
  <si>
    <t xml:space="preserve">Email</t>
  </si>
  <si>
    <t xml:space="preserve">Status</t>
  </si>
  <si>
    <t xml:space="preserve">Date Drafted</t>
  </si>
  <si>
    <t xml:space="preserve">Subject</t>
  </si>
  <si>
    <t xml:space="preserve">Personalization Used</t>
  </si>
  <si>
    <t xml:space="preserve">Official Source</t>
  </si>
  <si>
    <t xml:space="preserve">Notes</t>
  </si>
  <si>
    <t xml:space="preserve">Date Sent</t>
  </si>
  <si>
    <t xml:space="preserve">Response</t>
  </si>
  <si>
    <t xml:space="preserve">Response Detail</t>
  </si>
  <si>
    <t xml:space="preserve">India</t>
  </si>
  <si>
    <t xml:space="preserve">Tamil Nadu</t>
  </si>
  <si>
    <t xml:space="preserve">Private university</t>
  </si>
  <si>
    <t xml:space="preserve">SRM IST</t>
  </si>
  <si>
    <t xml:space="preserve">DEI</t>
  </si>
  <si>
    <t xml:space="preserve">Dr. Shantanu Patil, Director</t>
  </si>
  <si>
    <t xml:space="preserve">director.dei@srmist.edu.in</t>
  </si>
  <si>
    <t xml:space="preserve">Sent</t>
  </si>
  <si>
    <t xml:space="preserve">2026-09-25</t>
  </si>
  <si>
    <t xml:space="preserve">External Mentor for SRM DEI</t>
  </si>
  <si>
    <t xml:space="preserve">BioNEST, design centre, FabLab, entrepreneurship minor</t>
  </si>
  <si>
    <t xml:space="preserve">srmdei.com/experts</t>
  </si>
  <si>
    <t xml:space="preserve">2026-09-26</t>
  </si>
  <si>
    <t xml:space="preserve">Awaiting</t>
  </si>
  <si>
    <t xml:space="preserve">Karnataka</t>
  </si>
  <si>
    <t xml:space="preserve">B-school</t>
  </si>
  <si>
    <t xml:space="preserve">Mesa School of Business</t>
  </si>
  <si>
    <t xml:space="preserve">Mesa Startup Lab</t>
  </si>
  <si>
    <t xml:space="preserve">info@mesaschool.co</t>
  </si>
  <si>
    <t xml:space="preserve">Supporting Founders at Mesa Startup Lab</t>
  </si>
  <si>
    <t xml:space="preserve">12 month Discover to Raise journey, rotating mentors</t>
  </si>
  <si>
    <t xml:space="preserve">mesaschool.co/msl</t>
  </si>
  <si>
    <t xml:space="preserve">Kerala</t>
  </si>
  <si>
    <t xml:space="preserve">State mission</t>
  </si>
  <si>
    <t xml:space="preserve">Kerala Startup Mission</t>
  </si>
  <si>
    <t xml:space="preserve">KSUM</t>
  </si>
  <si>
    <t xml:space="preserve">Anoop Ambika, CEO</t>
  </si>
  <si>
    <t xml:space="preserve">info@startupmission.in</t>
  </si>
  <si>
    <t xml:space="preserve">India and Germany Startup Mentoring with KSUM</t>
  </si>
  <si>
    <t xml:space="preserve">Market Expansion; London &amp; Partners</t>
  </si>
  <si>
    <t xml:space="preserve">startupmission.kerala.gov.in</t>
  </si>
  <si>
    <t xml:space="preserve">International</t>
  </si>
  <si>
    <t xml:space="preserve">Sri Lanka</t>
  </si>
  <si>
    <t xml:space="preserve">Startup hub</t>
  </si>
  <si>
    <t xml:space="preserve">Hatch</t>
  </si>
  <si>
    <t xml:space="preserve">joinus@hatch.lk</t>
  </si>
  <si>
    <t xml:space="preserve">Mentoring Support for Hatch Founders</t>
  </si>
  <si>
    <t xml:space="preserve">Four themes, 400+ startups</t>
  </si>
  <si>
    <t xml:space="preserve">hatch.lk/programs</t>
  </si>
  <si>
    <t xml:space="preserve">Nepal</t>
  </si>
  <si>
    <t xml:space="preserve">Private college</t>
  </si>
  <si>
    <t xml:space="preserve">King's College</t>
  </si>
  <si>
    <t xml:space="preserve">King's Incubator</t>
  </si>
  <si>
    <t xml:space="preserve">incubator@kingscollege.edu.np</t>
  </si>
  <si>
    <t xml:space="preserve">External Mentor for King's Incubator</t>
  </si>
  <si>
    <t xml:space="preserve">Otharo Incubation Program, social business</t>
  </si>
  <si>
    <t xml:space="preserve">ysbc.kingscollege.edu.np</t>
  </si>
  <si>
    <t xml:space="preserve">UAE (Dubai)</t>
  </si>
  <si>
    <t xml:space="preserve">University of Dubai</t>
  </si>
  <si>
    <t xml:space="preserve">UDIEBC</t>
  </si>
  <si>
    <t xml:space="preserve">info.iebc@ud.ac.ae</t>
  </si>
  <si>
    <t xml:space="preserve">Mentoring Support for UDIEBC Founders</t>
  </si>
  <si>
    <t xml:space="preserve">UD Pitch Competition</t>
  </si>
  <si>
    <t xml:space="preserve">ud.ac.ae</t>
  </si>
  <si>
    <t xml:space="preserve">Oman</t>
  </si>
  <si>
    <t xml:space="preserve">GUtech</t>
  </si>
  <si>
    <t xml:space="preserve">GUStartHub</t>
  </si>
  <si>
    <t xml:space="preserve">ees@gutech.edu.om</t>
  </si>
  <si>
    <t xml:space="preserve">Mentoring Support for GUStartHub</t>
  </si>
  <si>
    <t xml:space="preserve">Halban hub, tech focus, German roots</t>
  </si>
  <si>
    <t xml:space="preserve">gutech.edu.om</t>
  </si>
  <si>
    <t xml:space="preserve">IIT</t>
  </si>
  <si>
    <t xml:space="preserve">IIT Madras</t>
  </si>
  <si>
    <t xml:space="preserve">IITM Incubation Cell</t>
  </si>
  <si>
    <t xml:space="preserve">office@incubation.iitm.ac.in</t>
  </si>
  <si>
    <t xml:space="preserve">External Mentor for IITM Incubation Cell</t>
  </si>
  <si>
    <t xml:space="preserve">200+ active deep tech startups across EV, AI, IoT</t>
  </si>
  <si>
    <t xml:space="preserve">rtbi.in/incubationiitm/contact.html; iitm.ac.in</t>
  </si>
  <si>
    <t xml:space="preserve">Delhi</t>
  </si>
  <si>
    <t xml:space="preserve">IIT Delhi</t>
  </si>
  <si>
    <t xml:space="preserve">FITT</t>
  </si>
  <si>
    <t xml:space="preserve">mdfitt@gmail.com</t>
  </si>
  <si>
    <t xml:space="preserve">Mentoring Support for FITT Startups</t>
  </si>
  <si>
    <t xml:space="preserve">125+ startups at Research Park; NIDHI CoE, BioNEST, AIC</t>
  </si>
  <si>
    <t xml:space="preserve">fitt-iitd.in/web/contact</t>
  </si>
  <si>
    <t xml:space="preserve">Gujarat</t>
  </si>
  <si>
    <t xml:space="preserve">IIM</t>
  </si>
  <si>
    <t xml:space="preserve">IIM Ahmedabad</t>
  </si>
  <si>
    <t xml:space="preserve">IIMA Ventures</t>
  </si>
  <si>
    <t xml:space="preserve">ventures@iima.ac.in</t>
  </si>
  <si>
    <t xml:space="preserve">Exploring a Mentor Association with IIMA Ventures</t>
  </si>
  <si>
    <t xml:space="preserve">Deeptech, digitalization, climatetech focus</t>
  </si>
  <si>
    <t xml:space="preserve">iimaventures.com/contact</t>
  </si>
  <si>
    <t xml:space="preserve">Telangana</t>
  </si>
  <si>
    <t xml:space="preserve">IIIT</t>
  </si>
  <si>
    <t xml:space="preserve">IIIT Hyderabad</t>
  </si>
  <si>
    <t xml:space="preserve">CIE IIITH</t>
  </si>
  <si>
    <t xml:space="preserve">incubation@iiit.ac.in</t>
  </si>
  <si>
    <t xml:space="preserve">Guest Mentor for CIE IIIT Hyderabad</t>
  </si>
  <si>
    <t xml:space="preserve">Resident and Guest Mentor model; Idea/Build/Growth</t>
  </si>
  <si>
    <t xml:space="preserve">cie.iiit.ac.in/connect</t>
  </si>
  <si>
    <t xml:space="preserve">IIT Hyderabad</t>
  </si>
  <si>
    <t xml:space="preserve">iTIC Incubator</t>
  </si>
  <si>
    <t xml:space="preserve">contact@itic.iith.ac.in</t>
  </si>
  <si>
    <t xml:space="preserve">External Mentor for iTIC Incubator</t>
  </si>
  <si>
    <t xml:space="preserve">Deeptech focus; 2024 Grand Challenge</t>
  </si>
  <si>
    <t xml:space="preserve">itic.iith.ac.in (apply page)</t>
  </si>
  <si>
    <t xml:space="preserve">West Bengal</t>
  </si>
  <si>
    <t xml:space="preserve">IIM Calcutta</t>
  </si>
  <si>
    <t xml:space="preserve">IIMCIP</t>
  </si>
  <si>
    <t xml:space="preserve">contact@iimcip.org</t>
  </si>
  <si>
    <t xml:space="preserve">Supporting Founders at IIM Calcutta Innovation Park</t>
  </si>
  <si>
    <t xml:space="preserve">SAMRIDH, TIDE 2.0, regional programmes in the East/NE</t>
  </si>
  <si>
    <t xml:space="preserve">iimcal.ac.in CEI contact page</t>
  </si>
  <si>
    <t xml:space="preserve">IIM Kozhikode</t>
  </si>
  <si>
    <t xml:space="preserve">IIMK LIVE</t>
  </si>
  <si>
    <t xml:space="preserve">enquiry@iimklive.org</t>
  </si>
  <si>
    <t xml:space="preserve">Mentoring Support for IIMK LIVE</t>
  </si>
  <si>
    <t xml:space="preserve">200+ startups; Kozhikode and Infopark Kochi</t>
  </si>
  <si>
    <t xml:space="preserve">iimklive.org</t>
  </si>
  <si>
    <t xml:space="preserve">VIT</t>
  </si>
  <si>
    <t xml:space="preserve">VIT TBI</t>
  </si>
  <si>
    <t xml:space="preserve">vittbi@vit.ac.in</t>
  </si>
  <si>
    <t xml:space="preserve">External Mentor for VIT TBI</t>
  </si>
  <si>
    <t xml:space="preserve">Healthcare, medtech, IIoT, fintech; Prayas, BioNEST, TIDE</t>
  </si>
  <si>
    <t xml:space="preserve">vittbi.com/about</t>
  </si>
  <si>
    <t xml:space="preserve">Engineering college</t>
  </si>
  <si>
    <t xml:space="preserve">PSG College of Technology</t>
  </si>
  <si>
    <t xml:space="preserve">PSG STEP</t>
  </si>
  <si>
    <t xml:space="preserve">step@psgtech.edu</t>
  </si>
  <si>
    <t xml:space="preserve">Mentoring Support for PSG STEP</t>
  </si>
  <si>
    <t xml:space="preserve">Since 1998; NIDHI CoE, iDEX, APIN</t>
  </si>
  <si>
    <t xml:space="preserve">ISTI portal; psgstep.org</t>
  </si>
  <si>
    <t xml:space="preserve">Kongu Engineering College</t>
  </si>
  <si>
    <t xml:space="preserve">TBI@KEC</t>
  </si>
  <si>
    <t xml:space="preserve">tbi.kongu@gmail.com</t>
  </si>
  <si>
    <t xml:space="preserve">External Mentor for TBI@KEC</t>
  </si>
  <si>
    <t xml:space="preserve">National TBI award; PRAYAS Lab, KEC SPARK Fund</t>
  </si>
  <si>
    <t xml:space="preserve">tbi-kec.org</t>
  </si>
  <si>
    <t xml:space="preserve">IIIT Bangalore</t>
  </si>
  <si>
    <t xml:space="preserve">IIITB Innovation Centre</t>
  </si>
  <si>
    <t xml:space="preserve">Incubation Manager</t>
  </si>
  <si>
    <t xml:space="preserve">manager-incubation@iiitb.ac.in</t>
  </si>
  <si>
    <t xml:space="preserve">Mentoring Support for IIITB Innovation Centre</t>
  </si>
  <si>
    <t xml:space="preserve">Atom, Orbit, FLASH programmes</t>
  </si>
  <si>
    <t xml:space="preserve">ic.iiitb.ac.in/team</t>
  </si>
  <si>
    <t xml:space="preserve">NIT</t>
  </si>
  <si>
    <t xml:space="preserve">NITK Surathkal</t>
  </si>
  <si>
    <t xml:space="preserve">NITK STEP</t>
  </si>
  <si>
    <t xml:space="preserve">Dr. Subray R. Hegde, Director In-Charge</t>
  </si>
  <si>
    <t xml:space="preserve">step@nitk.edu.in</t>
  </si>
  <si>
    <t xml:space="preserve">External Mentor for NITK STEP</t>
  </si>
  <si>
    <t xml:space="preserve">360+ training programmes; Industrial Relationship Internship Program</t>
  </si>
  <si>
    <t xml:space="preserve">step.nitk.ac.in</t>
  </si>
  <si>
    <t xml:space="preserve">Manipal (MAHE)</t>
  </si>
  <si>
    <t xml:space="preserve">MUTBI</t>
  </si>
  <si>
    <t xml:space="preserve">mutbi.mit@manipal.edu</t>
  </si>
  <si>
    <t xml:space="preserve">Mentoring Support for MUTBI</t>
  </si>
  <si>
    <t xml:space="preserve">Provenance, NIDHI EIR; IT, health, agri, energy</t>
  </si>
  <si>
    <t xml:space="preserve">manipal.edu MUTBI page</t>
  </si>
  <si>
    <t xml:space="preserve">JAIN University</t>
  </si>
  <si>
    <t xml:space="preserve">JAIN Launchpad</t>
  </si>
  <si>
    <t xml:space="preserve">info@jainlaunchpad.com</t>
  </si>
  <si>
    <t xml:space="preserve">Supporting Founders at JAIN Launchpad</t>
  </si>
  <si>
    <t xml:space="preserve">Incubation plus KAN acceleration</t>
  </si>
  <si>
    <t xml:space="preserve">jainlaunchpad.com/contact</t>
  </si>
  <si>
    <t xml:space="preserve">NIT Calicut</t>
  </si>
  <si>
    <t xml:space="preserve">TBI NITC</t>
  </si>
  <si>
    <t xml:space="preserve">tbi@nitc.ac.in</t>
  </si>
  <si>
    <t xml:space="preserve">External Mentor for NIT Calicut TBI</t>
  </si>
  <si>
    <t xml:space="preserve">150+ startups since 2003; Fab Lab NITC</t>
  </si>
  <si>
    <t xml:space="preserve">tbi.nitc.ac.in/contact-us</t>
  </si>
  <si>
    <t xml:space="preserve">Uttarakhand</t>
  </si>
  <si>
    <t xml:space="preserve">IIT Roorkee</t>
  </si>
  <si>
    <t xml:space="preserve">TIDES</t>
  </si>
  <si>
    <t xml:space="preserve">tides@iitr.ac.in</t>
  </si>
  <si>
    <t xml:space="preserve">Mentoring Support for TIDES IIT Roorkee</t>
  </si>
  <si>
    <t xml:space="preserve">320+ startups, 550+ mentors, SAKSHI, TIP</t>
  </si>
  <si>
    <t xml:space="preserve">tides.iitr.ac.in</t>
  </si>
  <si>
    <t xml:space="preserve">Punjab</t>
  </si>
  <si>
    <t xml:space="preserve">IIT Ropar</t>
  </si>
  <si>
    <t xml:space="preserve">iHub AWaDH</t>
  </si>
  <si>
    <t xml:space="preserve">Dr. Radhika Trikha, CEO</t>
  </si>
  <si>
    <t xml:space="preserve">ceo@ihub-awadh.in</t>
  </si>
  <si>
    <t xml:space="preserve">Joining the AWaDH Mentor Network</t>
  </si>
  <si>
    <t xml:space="preserve">Open call for mentors; deep tech R&amp;D accelerator</t>
  </si>
  <si>
    <t xml:space="preserve">ihub-awadh.in/mentors</t>
  </si>
  <si>
    <t xml:space="preserve">Rajasthan</t>
  </si>
  <si>
    <t xml:space="preserve">MNIT Jaipur</t>
  </si>
  <si>
    <t xml:space="preserve">MIIC</t>
  </si>
  <si>
    <t xml:space="preserve">miic@mnit.ac.in</t>
  </si>
  <si>
    <t xml:space="preserve">External Mentor for MIIC, MNIT Jaipur</t>
  </si>
  <si>
    <t xml:space="preserve">Resident/honorary/faculty mentors; Green Innovation Challenge</t>
  </si>
  <si>
    <t xml:space="preserve">miic.mnit.ac.in</t>
  </si>
  <si>
    <t xml:space="preserve">Assam</t>
  </si>
  <si>
    <t xml:space="preserve">IIT Guwahati</t>
  </si>
  <si>
    <t xml:space="preserve">IITG TIC</t>
  </si>
  <si>
    <t xml:space="preserve">tic@iitg.ac.in</t>
  </si>
  <si>
    <t xml:space="preserve">Mentoring Support for IITG TIC</t>
  </si>
  <si>
    <t xml:space="preserve">NE Innovation Catalyst 2.0, Genesis EiR</t>
  </si>
  <si>
    <t xml:space="preserve">iitgtic.com</t>
  </si>
  <si>
    <t xml:space="preserve">Uttar Pradesh</t>
  </si>
  <si>
    <t xml:space="preserve">IIT (BHU)</t>
  </si>
  <si>
    <t xml:space="preserve">I-3 Foundation</t>
  </si>
  <si>
    <t xml:space="preserve">i3f@iitbhu.ac.in</t>
  </si>
  <si>
    <t xml:space="preserve">External Mentor for I-3 Foundation, IIT (BHU)</t>
  </si>
  <si>
    <t xml:space="preserve">Umbrella for NIIC, R-ABI, Cisco thingQbator</t>
  </si>
  <si>
    <t xml:space="preserve">i3f-iitbhu.org</t>
  </si>
  <si>
    <t xml:space="preserve">IIIT Delhi</t>
  </si>
  <si>
    <t xml:space="preserve">IIITD Innovation &amp; Incubation Center</t>
  </si>
  <si>
    <t xml:space="preserve">info@iiitdic.in</t>
  </si>
  <si>
    <t xml:space="preserve">Mentoring Support for IIITD Innovation and Incubation Center</t>
  </si>
  <si>
    <t xml:space="preserve">EIR, Alumni Fellowship, pre-incubation</t>
  </si>
  <si>
    <t xml:space="preserve">iiitdic.in/contact</t>
  </si>
  <si>
    <t xml:space="preserve">Maharashtra</t>
  </si>
  <si>
    <t xml:space="preserve">Engineering university</t>
  </si>
  <si>
    <t xml:space="preserve">COEP Tech</t>
  </si>
  <si>
    <t xml:space="preserve">Bhau Institute</t>
  </si>
  <si>
    <t xml:space="preserve">manager.bhau@coeptech.ac.in</t>
  </si>
  <si>
    <t xml:space="preserve">External Mentor for COEP's Bhau Institute</t>
  </si>
  <si>
    <t xml:space="preserve">Elder brother idea; corporate incubation; EV focus</t>
  </si>
  <si>
    <t xml:space="preserve">bhau.org/contact</t>
  </si>
  <si>
    <t xml:space="preserve">PDEU</t>
  </si>
  <si>
    <t xml:space="preserve">PDEU IIC</t>
  </si>
  <si>
    <t xml:space="preserve">iic@pdpu.ac.in</t>
  </si>
  <si>
    <t xml:space="preserve">Mentoring Support for PDEU IIC</t>
  </si>
  <si>
    <t xml:space="preserve">230+ startups; NIRF innovation 2024 &amp; 2025</t>
  </si>
  <si>
    <t xml:space="preserve">pdeuiic.in/about</t>
  </si>
  <si>
    <t xml:space="preserve">University</t>
  </si>
  <si>
    <t xml:space="preserve">Gujarat University</t>
  </si>
  <si>
    <t xml:space="preserve">GUSEC</t>
  </si>
  <si>
    <t xml:space="preserve">contact@gusec.edu.in</t>
  </si>
  <si>
    <t xml:space="preserve">Supporting Founders at GUSEC</t>
  </si>
  <si>
    <t xml:space="preserve">Zero cost incubation; herSTART</t>
  </si>
  <si>
    <t xml:space="preserve">gusec.edu.in</t>
  </si>
  <si>
    <t xml:space="preserve">IIM Udaipur</t>
  </si>
  <si>
    <t xml:space="preserve">IIMU Incubation Centre</t>
  </si>
  <si>
    <t xml:space="preserve">incubation@iimu.ac.in</t>
  </si>
  <si>
    <t xml:space="preserve">Mentoring Support for IIMU Incubation Centre</t>
  </si>
  <si>
    <t xml:space="preserve">Scalable, viable, profitable plus inclusive growth</t>
  </si>
  <si>
    <t xml:space="preserve">iimuic.org/contact-us</t>
  </si>
  <si>
    <t xml:space="preserve">Odisha</t>
  </si>
  <si>
    <t xml:space="preserve">KIIT</t>
  </si>
  <si>
    <t xml:space="preserve">KIIT TBI</t>
  </si>
  <si>
    <t xml:space="preserve">tbi@kiitincubator.in</t>
  </si>
  <si>
    <t xml:space="preserve">International Mentoring Support for KIIT TBI</t>
  </si>
  <si>
    <t xml:space="preserve">700+ startups; UK-India Healthtech Bootcamp, Boeing BUILD</t>
  </si>
  <si>
    <t xml:space="preserve">kiitincubator.in</t>
  </si>
  <si>
    <t xml:space="preserve">NIT Rourkela</t>
  </si>
  <si>
    <t xml:space="preserve">FTBI</t>
  </si>
  <si>
    <t xml:space="preserve">ftbi@nitrkl.ac.in</t>
  </si>
  <si>
    <t xml:space="preserve">External Mentor for FTBI, NIT Rourkela</t>
  </si>
  <si>
    <t xml:space="preserve">Coratia Navy contract; TEXMiN CoE</t>
  </si>
  <si>
    <t xml:space="preserve">ftbi-nitrkl.org</t>
  </si>
  <si>
    <t xml:space="preserve">CUSAT</t>
  </si>
  <si>
    <t xml:space="preserve">CUSAT TBI</t>
  </si>
  <si>
    <t xml:space="preserve">Prof. Manoj N, Professor in Charge</t>
  </si>
  <si>
    <t xml:space="preserve">cusatechfoundation@gmail.com</t>
  </si>
  <si>
    <t xml:space="preserve">External Mentor for CUSAT TBI</t>
  </si>
  <si>
    <t xml:space="preserve">RUSA Startup Fund</t>
  </si>
  <si>
    <t xml:space="preserve">cusatech.cusat.ac.in</t>
  </si>
  <si>
    <t xml:space="preserve">Amrita Vishwa Vidyapeetham</t>
  </si>
  <si>
    <t xml:space="preserve">Amrita TBI</t>
  </si>
  <si>
    <t xml:space="preserve">info@amritatbi.com</t>
  </si>
  <si>
    <t xml:space="preserve">Mentoring Support for Amrita TBI</t>
  </si>
  <si>
    <t xml:space="preserve">Berkeley SkyDeck programme, PitchFest, hardware focus</t>
  </si>
  <si>
    <t xml:space="preserve">amritatbi.com</t>
  </si>
  <si>
    <t xml:space="preserve">Chitkara University</t>
  </si>
  <si>
    <t xml:space="preserve">CIIF</t>
  </si>
  <si>
    <t xml:space="preserve">ciif@chitkara.edu.in</t>
  </si>
  <si>
    <t xml:space="preserve">External Mentor for Chitkara CIIF</t>
  </si>
  <si>
    <t xml:space="preserve">Xcelerator, AgriXcelerator 2025, SURGE</t>
  </si>
  <si>
    <t xml:space="preserve">chitkara.edu.in/ciif</t>
  </si>
  <si>
    <t xml:space="preserve">Andhra Pradesh</t>
  </si>
  <si>
    <t xml:space="preserve">IIM Visakhapatnam</t>
  </si>
  <si>
    <t xml:space="preserve">IIMV FIELD</t>
  </si>
  <si>
    <t xml:space="preserve">incubationcenter@iimv.ac.in</t>
  </si>
  <si>
    <t xml:space="preserve">Exploring a Mentor Association with IIMV FIELD</t>
  </si>
  <si>
    <t xml:space="preserve">Sampannakaari, Naaripreneur; export oriented ventures</t>
  </si>
  <si>
    <t xml:space="preserve">iimvfield.com/contact-us</t>
  </si>
  <si>
    <t xml:space="preserve">Bihar</t>
  </si>
  <si>
    <t xml:space="preserve">IIT Patna</t>
  </si>
  <si>
    <t xml:space="preserve">IC IIT Patna</t>
  </si>
  <si>
    <t xml:space="preserve">iciitp@iitp.ac.in</t>
  </si>
  <si>
    <t xml:space="preserve">External Mentor for Incubation Centre IIT Patna</t>
  </si>
  <si>
    <t xml:space="preserve">ESDM with medical electronics focus</t>
  </si>
  <si>
    <t xml:space="preserve">iciitp.com</t>
  </si>
  <si>
    <t xml:space="preserve">Sikkim</t>
  </si>
  <si>
    <t xml:space="preserve">Sikkim Manipal University</t>
  </si>
  <si>
    <t xml:space="preserve">AIC-SMUTBI</t>
  </si>
  <si>
    <t xml:space="preserve">contact@smutbi.com</t>
  </si>
  <si>
    <t xml:space="preserve">International Mentoring Support for AIC-SMUTBI</t>
  </si>
  <si>
    <t xml:space="preserve">SAPNE, SMAP, XR Startup Program, Royal Norwegian grant</t>
  </si>
  <si>
    <t xml:space="preserve">smutbi.com</t>
  </si>
  <si>
    <t xml:space="preserve">Jharkhand</t>
  </si>
  <si>
    <t xml:space="preserve">XLRI Jamshedpur</t>
  </si>
  <si>
    <t xml:space="preserve">XCEED</t>
  </si>
  <si>
    <t xml:space="preserve">xceed@xlri.ac.in</t>
  </si>
  <si>
    <t xml:space="preserve">Industry Mentor for XCEED, XLRI</t>
  </si>
  <si>
    <t xml:space="preserve">Recruits industry mentors; MBA live projects</t>
  </si>
  <si>
    <t xml:space="preserve">xceed.xlri.ac.in/contact-us</t>
  </si>
  <si>
    <t xml:space="preserve">SPJIMR</t>
  </si>
  <si>
    <t xml:space="preserve">Sunil Bhatia Start-up Hub</t>
  </si>
  <si>
    <t xml:space="preserve">cfi@spjimr.org</t>
  </si>
  <si>
    <t xml:space="preserve">Mentoring Support for the SPJIMR Start-up Hub</t>
  </si>
  <si>
    <t xml:space="preserve">Pitch Fridays, roundtable mixers</t>
  </si>
  <si>
    <t xml:space="preserve">spjimr.org start-up hub page</t>
  </si>
  <si>
    <t xml:space="preserve">Heriot-Watt University Dubai</t>
  </si>
  <si>
    <t xml:space="preserve">EBS Global Incubator</t>
  </si>
  <si>
    <t xml:space="preserve">Huma Imdad, Incubator Manager</t>
  </si>
  <si>
    <t xml:space="preserve">h.imdad@hw.ac.uk</t>
  </si>
  <si>
    <t xml:space="preserve">Mentoring Support for the EBS Global Incubator, Dubai</t>
  </si>
  <si>
    <t xml:space="preserve">4 month fellowship; AI, net zero, smart construction</t>
  </si>
  <si>
    <t xml:space="preserve">hw.ac.uk EBS incubator page</t>
  </si>
  <si>
    <t xml:space="preserve">American University in Dubai</t>
  </si>
  <si>
    <t xml:space="preserve">AEIC</t>
  </si>
  <si>
    <t xml:space="preserve">aeic@aud.edu</t>
  </si>
  <si>
    <t xml:space="preserve">Mentoring Support for AEIC, American University in Dubai</t>
  </si>
  <si>
    <t xml:space="preserve">Graduate businesses not just students; Startup Pathway</t>
  </si>
  <si>
    <t xml:space="preserve">aeic.aud.edu</t>
  </si>
  <si>
    <t xml:space="preserve">Saudi Arabia</t>
  </si>
  <si>
    <t xml:space="preserve">KFUPM</t>
  </si>
  <si>
    <t xml:space="preserve">Entrepreneurship Institute</t>
  </si>
  <si>
    <t xml:space="preserve">ei@kfupm.edu.sa</t>
  </si>
  <si>
    <t xml:space="preserve">Joining the KFUPM Entrepreneurship Institute Mentor Network</t>
  </si>
  <si>
    <t xml:space="preserve">Open mentor programme with Aramco, Baker Hughes, GE mentors</t>
  </si>
  <si>
    <t xml:space="preserve">ei.kfupm.edu.sa/about/our-mentors</t>
  </si>
  <si>
    <t xml:space="preserve">Kuwait</t>
  </si>
  <si>
    <t xml:space="preserve">Sirdab Lab</t>
  </si>
  <si>
    <t xml:space="preserve">info@sirdab-lab.com</t>
  </si>
  <si>
    <t xml:space="preserve">Mentoring Support for Sirdab Lab Founders</t>
  </si>
  <si>
    <t xml:space="preserve">Digital product focus; ex Talabat CEO in community</t>
  </si>
  <si>
    <t xml:space="preserve">sirdab-lab.com</t>
  </si>
  <si>
    <t xml:space="preserve">Amity University (Noida)</t>
  </si>
  <si>
    <t xml:space="preserve">Amity Innovation Incubator</t>
  </si>
  <si>
    <t xml:space="preserve">Ojasvi Babber, CEO</t>
  </si>
  <si>
    <t xml:space="preserve">info@aii.amity.edu</t>
  </si>
  <si>
    <t xml:space="preserve">On hold: existing contact</t>
  </si>
  <si>
    <t xml:space="preserve">Existing sent email 22 Sep 2026 to rreshi@amity.edu (Amity Exec Ed, D2C Fellowship). No reply. Your decision.</t>
  </si>
  <si>
    <t xml:space="preserve">Amity University Dubai</t>
  </si>
  <si>
    <t xml:space="preserve">Amity Dubai Incubation Centre</t>
  </si>
  <si>
    <t xml:space="preserve">incubation@amitydubai.ae</t>
  </si>
  <si>
    <t xml:space="preserve">Same Amity group as above. Draft ready to write on your go.</t>
  </si>
  <si>
    <t xml:space="preserve">IIM Bangalore</t>
  </si>
  <si>
    <t xml:space="preserve">NSRCEL</t>
  </si>
  <si>
    <t xml:space="preserve">Anand Sri Ganesh, CEO</t>
  </si>
  <si>
    <t xml:space="preserve">Blocked: no verified email</t>
  </si>
  <si>
    <t xml:space="preserve">No email on official site. Route: LinkedIn to CEO.</t>
  </si>
  <si>
    <t xml:space="preserve">IIT Bombay</t>
  </si>
  <si>
    <t xml:space="preserve">SINE</t>
  </si>
  <si>
    <t xml:space="preserve">Contact page is JS only; only an old 2010s list shows rakesh@sineiitb.org.</t>
  </si>
  <si>
    <t xml:space="preserve">IIT Kanpur</t>
  </si>
  <si>
    <t xml:space="preserve">SIIC</t>
  </si>
  <si>
    <t xml:space="preserve">Anurag Singh, CEO</t>
  </si>
  <si>
    <t xml:space="preserve">SIIC held a Mentors' Meet Nov 2025. ISTI lists faculty emails only. Try mentors.siicincubator.com.</t>
  </si>
  <si>
    <t xml:space="preserve">Institute</t>
  </si>
  <si>
    <t xml:space="preserve">IISc</t>
  </si>
  <si>
    <t xml:space="preserve">SID / FSID</t>
  </si>
  <si>
    <t xml:space="preserve">Only sub-incubator faculty emails found.</t>
  </si>
  <si>
    <t xml:space="preserve">Anna University</t>
  </si>
  <si>
    <t xml:space="preserve">Anna Incubator (AIC)</t>
  </si>
  <si>
    <t xml:space="preserve">annaincubator.org unreachable.</t>
  </si>
  <si>
    <t xml:space="preserve">SASTRA</t>
  </si>
  <si>
    <t xml:space="preserve">FIRST TBI</t>
  </si>
  <si>
    <t xml:space="preserve">Sakthi Srinivasan, CEO in charge</t>
  </si>
  <si>
    <t xml:space="preserve">CHRIST University</t>
  </si>
  <si>
    <t xml:space="preserve">C-IESC</t>
  </si>
  <si>
    <t xml:space="preserve">Only admissions email published.</t>
  </si>
  <si>
    <t xml:space="preserve">CUBEC</t>
  </si>
  <si>
    <t xml:space="preserve">Not an incubator</t>
  </si>
  <si>
    <t xml:space="preserve">CUBEC is an ecology research centre. Replaced by JAIN Launchpad.</t>
  </si>
  <si>
    <t xml:space="preserve">IIM Nagpur</t>
  </si>
  <si>
    <t xml:space="preserve">InFED</t>
  </si>
  <si>
    <t xml:space="preserve">Blocked: site unreachable</t>
  </si>
  <si>
    <t xml:space="preserve">IIM Lucknow</t>
  </si>
  <si>
    <t xml:space="preserve">IIML EIC</t>
  </si>
  <si>
    <t xml:space="preserve">Prof. Ashish Dubey, Faculty in Charge</t>
  </si>
  <si>
    <t xml:space="preserve">iimleic.com unreachable.</t>
  </si>
  <si>
    <t xml:space="preserve">IIT Jodhpur</t>
  </si>
  <si>
    <t xml:space="preserve">TISC</t>
  </si>
  <si>
    <t xml:space="preserve">IIT Bhubaneswar</t>
  </si>
  <si>
    <t xml:space="preserve">Research &amp; Entrepreneurship Park</t>
  </si>
  <si>
    <t xml:space="preserve">IIT Kharagpur</t>
  </si>
  <si>
    <t xml:space="preserve">STEP</t>
  </si>
  <si>
    <t xml:space="preserve">Blocked: only outdated email</t>
  </si>
  <si>
    <t xml:space="preserve">Himachal</t>
  </si>
  <si>
    <t xml:space="preserve">IIT Mandi</t>
  </si>
  <si>
    <t xml:space="preserve">Catalyst</t>
  </si>
  <si>
    <t xml:space="preserve">Himalayan Startup Trek is a good hook.</t>
  </si>
  <si>
    <t xml:space="preserve">IIT (ISM) Dhanbad</t>
  </si>
  <si>
    <t xml:space="preserve">DIIE</t>
  </si>
  <si>
    <t xml:space="preserve">Prof. Alok Kumar Das, Dean</t>
  </si>
  <si>
    <t xml:space="preserve">J&amp;K</t>
  </si>
  <si>
    <t xml:space="preserve">IIM Jammu</t>
  </si>
  <si>
    <t xml:space="preserve">IIMJ-FEISD</t>
  </si>
  <si>
    <t xml:space="preserve">Tezpur University</t>
  </si>
  <si>
    <t xml:space="preserve">CIIE</t>
  </si>
  <si>
    <t xml:space="preserve">StartupTN</t>
  </si>
  <si>
    <t xml:space="preserve">Sivarajah Ramanathan, Mission Director</t>
  </si>
  <si>
    <t xml:space="preserve">Register at startuptnmentors.com.</t>
  </si>
  <si>
    <t xml:space="preserve">ISB</t>
  </si>
  <si>
    <t xml:space="preserve">DLabs</t>
  </si>
  <si>
    <t xml:space="preserve">Saumya Kumar, CEO</t>
  </si>
  <si>
    <t xml:space="preserve">Blocked: email obfuscated</t>
  </si>
  <si>
    <t xml:space="preserve">KAUST</t>
  </si>
  <si>
    <t xml:space="preserve">Entrepreneurship Center</t>
  </si>
  <si>
    <t xml:space="preserve">Hattan Ahmed, Head</t>
  </si>
  <si>
    <t xml:space="preserve">Blocked: program inboxes only</t>
  </si>
  <si>
    <t xml:space="preserve">Apply.Taqadam@kaust.edu.sa exists.</t>
  </si>
  <si>
    <t xml:space="preserve">Bahrain</t>
  </si>
  <si>
    <t xml:space="preserve">University of Bahrain</t>
  </si>
  <si>
    <t xml:space="preserve">UOB Business Incubator</t>
  </si>
  <si>
    <t xml:space="preserve">Blocked: contact form only</t>
  </si>
  <si>
    <t xml:space="preserve">GUST</t>
  </si>
  <si>
    <t xml:space="preserve">GUST Startup Lab</t>
  </si>
  <si>
    <t xml:space="preserve">Dr. Sam Toglaw, Chair</t>
  </si>
  <si>
    <t xml:space="preserve">LinkedIn route.</t>
  </si>
  <si>
    <t xml:space="preserve">Science park</t>
  </si>
  <si>
    <t xml:space="preserve">Innovation Park Muscat</t>
  </si>
  <si>
    <t xml:space="preserve">IPM</t>
  </si>
  <si>
    <t xml:space="preserve">Private engineering college</t>
  </si>
  <si>
    <t xml:space="preserve">Chennai Institute of Technology</t>
  </si>
  <si>
    <t xml:space="preserve">CITBIF</t>
  </si>
  <si>
    <t xml:space="preserve">info@citchennai.net</t>
  </si>
  <si>
    <t xml:space="preserve">External Mentor for CITBIF, Chennai Institute of Technology</t>
  </si>
  <si>
    <t xml:space="preserve">Startup 20 G20 event on campus; CITBIF</t>
  </si>
  <si>
    <t xml:space="preserve">cit-g20-startup page</t>
  </si>
  <si>
    <t xml:space="preserve">General CIT inbox (only one published); no dedicated CITBIF email found</t>
  </si>
  <si>
    <t xml:space="preserve">SSN College of Engineering</t>
  </si>
  <si>
    <t xml:space="preserve">SSN IFound</t>
  </si>
  <si>
    <t xml:space="preserve">info@ssnifound.in</t>
  </si>
  <si>
    <t xml:space="preserve">External Mentor for SSN IFound</t>
  </si>
  <si>
    <t xml:space="preserve">Deep tech focus: Industry 4.0, SaaS, EV, space/defence, additive mfg</t>
  </si>
  <si>
    <t xml:space="preserve">ssn.edu.in incubation page</t>
  </si>
  <si>
    <t xml:space="preserve">Bannari Amman Institute of Technology</t>
  </si>
  <si>
    <t xml:space="preserve">BIT TBI</t>
  </si>
  <si>
    <t xml:space="preserve">bit-tbi@bitsathy.ac.in</t>
  </si>
  <si>
    <t xml:space="preserve">External Mentor for BIT TBI</t>
  </si>
  <si>
    <t xml:space="preserve">Departmental mentor pool; Ideation Events</t>
  </si>
  <si>
    <t xml:space="preserve">bittbi.com/people.php</t>
  </si>
  <si>
    <t xml:space="preserve">Kalasalingam (KARE)</t>
  </si>
  <si>
    <t xml:space="preserve">ACIC-KIF</t>
  </si>
  <si>
    <t xml:space="preserve">info@acic-kif.com</t>
  </si>
  <si>
    <t xml:space="preserve">Mentoring Support for ACIC Kalasalingam Innovation Foundation</t>
  </si>
  <si>
    <t xml:space="preserve">Community innovation in Virudhunagar; Maker Lab</t>
  </si>
  <si>
    <t xml:space="preserve">acic-kif.com</t>
  </si>
  <si>
    <t xml:space="preserve">BITS Pilani</t>
  </si>
  <si>
    <t xml:space="preserve">PIEDS</t>
  </si>
  <si>
    <t xml:space="preserve">tbi@pieds-bitspilani.org</t>
  </si>
  <si>
    <t xml:space="preserve">Joining the PIEDS Mentor Network</t>
  </si>
  <si>
    <t xml:space="preserve">400+ startups, 150+ mentors, Womenpreneur, Samvardhan</t>
  </si>
  <si>
    <t xml:space="preserve">pieds-bitspilani.org</t>
  </si>
  <si>
    <t xml:space="preserve">Symbiosis International</t>
  </si>
  <si>
    <t xml:space="preserve">SCEI</t>
  </si>
  <si>
    <t xml:space="preserve">Dilip Thosar, CEO</t>
  </si>
  <si>
    <t xml:space="preserve">contact@scei.org.in</t>
  </si>
  <si>
    <t xml:space="preserve">External Mentor for SCEI, Symbiosis</t>
  </si>
  <si>
    <t xml:space="preserve">SIU's TBI; operator-led CEO</t>
  </si>
  <si>
    <t xml:space="preserve">scei.org.in</t>
  </si>
  <si>
    <t xml:space="preserve">UPES</t>
  </si>
  <si>
    <t xml:space="preserve">Runway Incubator</t>
  </si>
  <si>
    <t xml:space="preserve">runway@ddn.upes.ac.in</t>
  </si>
  <si>
    <t xml:space="preserve">Mentoring Support for UPES Runway</t>
  </si>
  <si>
    <t xml:space="preserve">250+ startups, Cohort 4.0, TiE/IAN mentors</t>
  </si>
  <si>
    <t xml:space="preserve">runwayincubator.com/contact</t>
  </si>
  <si>
    <t xml:space="preserve">Chandigarh University</t>
  </si>
  <si>
    <t xml:space="preserve">CU-TBI</t>
  </si>
  <si>
    <t xml:space="preserve">tbi@cumail.in</t>
  </si>
  <si>
    <t xml:space="preserve">External Mentor for CU-TBI</t>
  </si>
  <si>
    <t xml:space="preserve">Sandbox 2025, NIICS 2025, 250+ startups</t>
  </si>
  <si>
    <t xml:space="preserve">cuchd.in TBI contact</t>
  </si>
  <si>
    <t xml:space="preserve">Vignan (VFSTR)</t>
  </si>
  <si>
    <t xml:space="preserve">Vignan TBI</t>
  </si>
  <si>
    <t xml:space="preserve">vfstrtbi@vignan.ac.in</t>
  </si>
  <si>
    <t xml:space="preserve">External Mentor for Vignan TBI</t>
  </si>
  <si>
    <t xml:space="preserve">Partners AP INSO, T-Hub, Wadhwani, TiE; 40+ mentors</t>
  </si>
  <si>
    <t xml:space="preserve">vignan.ac.in/vignantbi</t>
  </si>
  <si>
    <t xml:space="preserve">Sardar Patel Institute of Technology</t>
  </si>
  <si>
    <t xml:space="preserve">SP-TBI</t>
  </si>
  <si>
    <t xml:space="preserve">managertbi@spit.ac.in</t>
  </si>
  <si>
    <t xml:space="preserve">External Mentor for SP-TBI</t>
  </si>
  <si>
    <t xml:space="preserve">10,000 jobs through 500 ventures mission</t>
  </si>
  <si>
    <t xml:space="preserve">sptbi.com</t>
  </si>
  <si>
    <t xml:space="preserve">Dayananda Sagar University</t>
  </si>
  <si>
    <t xml:space="preserve">AIC-DSU Innovation Foundation</t>
  </si>
  <si>
    <t xml:space="preserve">info@aicdsu.foundation</t>
  </si>
  <si>
    <t xml:space="preserve">Mentoring Support for AIC-DSU Innovation Foundation</t>
  </si>
  <si>
    <t xml:space="preserve">Stakeholder problem solving at DSU Innovation Campus</t>
  </si>
  <si>
    <t xml:space="preserve">aicdsu.foundation/contact.html</t>
  </si>
  <si>
    <t xml:space="preserve">DERBI Foundation site unreachable; worth a later look</t>
  </si>
  <si>
    <t xml:space="preserve">Parul University</t>
  </si>
  <si>
    <t xml:space="preserve">PIERC</t>
  </si>
  <si>
    <t xml:space="preserve">Jay Sudani, CEO</t>
  </si>
  <si>
    <t xml:space="preserve">pierc@paruluniversity.ac.in</t>
  </si>
  <si>
    <t xml:space="preserve">External Mentor for PIERC, Parul University</t>
  </si>
  <si>
    <t xml:space="preserve">300+ startups; Health Tech Accelerator; hospital validation</t>
  </si>
  <si>
    <t xml:space="preserve">pierc.org</t>
  </si>
  <si>
    <t xml:space="preserve">Marwadi University</t>
  </si>
  <si>
    <t xml:space="preserve">MUIIR</t>
  </si>
  <si>
    <t xml:space="preserve">Dr. Amit Sata, Associate Dean I&amp;E</t>
  </si>
  <si>
    <t xml:space="preserve">amit.sata@marwadieducation.edu.in</t>
  </si>
  <si>
    <t xml:space="preserve">External Mentor for MUIIR, Marwadi University</t>
  </si>
  <si>
    <t xml:space="preserve">Five pillars; women-led startups; import substitution</t>
  </si>
  <si>
    <t xml:space="preserve">marwadiuniversity.ac.in/muiir</t>
  </si>
  <si>
    <t xml:space="preserve">Amal Jyothi College of Engineering</t>
  </si>
  <si>
    <t xml:space="preserve">Startups Valley TBI</t>
  </si>
  <si>
    <t xml:space="preserve">Prof. Sherin Sam Jose, CEO</t>
  </si>
  <si>
    <t xml:space="preserve">ceo@startupsvalley.in</t>
  </si>
  <si>
    <t xml:space="preserve">External Mentor for Startups Valley TBI</t>
  </si>
  <si>
    <t xml:space="preserve">Kerala's first BIRAC BioNEST; rural/food/green/AI; KSUM LEAP</t>
  </si>
  <si>
    <t xml:space="preserve">startupsvalley.in</t>
  </si>
  <si>
    <t xml:space="preserve">Rajalakshmi Engineering College</t>
  </si>
  <si>
    <t xml:space="preserve">Incubation (REC)</t>
  </si>
  <si>
    <t xml:space="preserve">Kumaraguru College of Technology</t>
  </si>
  <si>
    <t xml:space="preserve">KCT TBI / KCIRI</t>
  </si>
  <si>
    <t xml:space="preserve">KCIRI contact page 404</t>
  </si>
  <si>
    <t xml:space="preserve">Sathyabama</t>
  </si>
  <si>
    <t xml:space="preserve">Sathyabama TBI</t>
  </si>
  <si>
    <t xml:space="preserve">Top 5 TN incubator (StartupTN). Your PhD institution; you may have a direct route.</t>
  </si>
  <si>
    <t xml:space="preserve">Saveetha Engineering College</t>
  </si>
  <si>
    <t xml:space="preserve">Incubation centre</t>
  </si>
  <si>
    <t xml:space="preserve">Sri Sairam</t>
  </si>
  <si>
    <t xml:space="preserve">Sairam Techno Incubator Foundation</t>
  </si>
  <si>
    <t xml:space="preserve">Blocked: only group admissions/info email</t>
  </si>
  <si>
    <t xml:space="preserve">Sona College of Technology</t>
  </si>
  <si>
    <t xml:space="preserve">Sona Business Incubation Center</t>
  </si>
  <si>
    <t xml:space="preserve">Lina Javerilal, Coordinator</t>
  </si>
  <si>
    <t xml:space="preserve">Phone 0427-4099803</t>
  </si>
  <si>
    <t xml:space="preserve">Aided private college</t>
  </si>
  <si>
    <t xml:space="preserve">Thiagarajar College of Engineering</t>
  </si>
  <si>
    <t xml:space="preserve">TCE TBI</t>
  </si>
  <si>
    <t xml:space="preserve">Blocked: tce-tbi.org unreachable</t>
  </si>
  <si>
    <t xml:space="preserve">Hindustan (HITS)</t>
  </si>
  <si>
    <t xml:space="preserve">HTBI</t>
  </si>
  <si>
    <t xml:space="preserve">Blocked: only general university email</t>
  </si>
  <si>
    <t xml:space="preserve">Panimalar / St. Joseph's / Velammal / KPR / Karpagam / Sri Krishna</t>
  </si>
  <si>
    <t xml:space="preserve">Incubation cells</t>
  </si>
  <si>
    <t xml:space="preserve">Blocked: no incubator page or email found</t>
  </si>
  <si>
    <t xml:space="preserve">Next batch candidates</t>
  </si>
  <si>
    <t xml:space="preserve">PES University</t>
  </si>
  <si>
    <t xml:space="preserve">PES Venture Labs / CIE</t>
  </si>
  <si>
    <t xml:space="preserve">Blocked: only dean.research email</t>
  </si>
  <si>
    <t xml:space="preserve">RV College of Engineering</t>
  </si>
  <si>
    <t xml:space="preserve">RV incubation</t>
  </si>
  <si>
    <t xml:space="preserve">Ramaiah (RUAS/MSRIT)</t>
  </si>
  <si>
    <t xml:space="preserve">Ramaiah TBI</t>
  </si>
  <si>
    <t xml:space="preserve">KLE Technological University</t>
  </si>
  <si>
    <t xml:space="preserve">KLE CTIE</t>
  </si>
  <si>
    <t xml:space="preserve">145+ startups; strong target</t>
  </si>
  <si>
    <t xml:space="preserve">GITAM</t>
  </si>
  <si>
    <t xml:space="preserve">Venture Development Center</t>
  </si>
  <si>
    <t xml:space="preserve">Raja Kumar Bollem, Principal Venture Coach</t>
  </si>
  <si>
    <t xml:space="preserve">Blocked: emails not on public page</t>
  </si>
  <si>
    <t xml:space="preserve">University TBI</t>
  </si>
  <si>
    <t xml:space="preserve">KL University (KLEF)</t>
  </si>
  <si>
    <t xml:space="preserve">KL Technology Incubators Foundation (KLTIF-TBI)</t>
  </si>
  <si>
    <t xml:space="preserve">Team (CEO: Veena Hanamsagar per press)</t>
  </si>
  <si>
    <t xml:space="preserve">ceo.tbi@kluniversity.in</t>
  </si>
  <si>
    <t xml:space="preserve">External Mentor for KLTIF-TBI Startups</t>
  </si>
  <si>
    <t xml:space="preserve">AI-led product development; go-to-market</t>
  </si>
  <si>
    <t xml:space="preserve">DPIIT/Startup India host-institute incubator list (s3waas.gov.in, 2023)</t>
  </si>
  <si>
    <t xml:space="preserve">Previously blocked; email now found on government list</t>
  </si>
  <si>
    <t xml:space="preserve">Mahindra University</t>
  </si>
  <si>
    <t xml:space="preserve">AIC Mahindra</t>
  </si>
  <si>
    <t xml:space="preserve">Ismail Akbani, CEO</t>
  </si>
  <si>
    <t xml:space="preserve">Nirma University</t>
  </si>
  <si>
    <t xml:space="preserve">NU Incubation Centre</t>
  </si>
  <si>
    <t xml:space="preserve">Blocked: Google Form only</t>
  </si>
  <si>
    <t xml:space="preserve">Thapar (TIET)</t>
  </si>
  <si>
    <t xml:space="preserve">VentureLab</t>
  </si>
  <si>
    <t xml:space="preserve">LPU</t>
  </si>
  <si>
    <t xml:space="preserve">3 incubators</t>
  </si>
  <si>
    <t xml:space="preserve">Blocked: only registrar email</t>
  </si>
  <si>
    <t xml:space="preserve">MIT-WPU</t>
  </si>
  <si>
    <t xml:space="preserve">MIT WPU TBI</t>
  </si>
  <si>
    <t xml:space="preserve">JSSATE Noida</t>
  </si>
  <si>
    <t xml:space="preserve">JSSATE-STEP</t>
  </si>
  <si>
    <t xml:space="preserve">Haryana</t>
  </si>
  <si>
    <t xml:space="preserve">Manav Rachna</t>
  </si>
  <si>
    <t xml:space="preserve">MR incubation</t>
  </si>
  <si>
    <t xml:space="preserve">Silicon University</t>
  </si>
  <si>
    <t xml:space="preserve">Switchtech Incubator Foundation</t>
  </si>
  <si>
    <t xml:space="preserve">Dr. Mahendra P. Agasty, FIC</t>
  </si>
  <si>
    <t xml:space="preserve">Blocked: only general info email</t>
  </si>
  <si>
    <t xml:space="preserve">SOA University</t>
  </si>
  <si>
    <t xml:space="preserve">AIC SOA Foundation</t>
  </si>
  <si>
    <t xml:space="preserve">Rajagiri (RSET)</t>
  </si>
  <si>
    <t xml:space="preserve">Rajagiri Incubation Centre</t>
  </si>
  <si>
    <t xml:space="preserve">Blocked: not on official page</t>
  </si>
  <si>
    <t xml:space="preserve">Third-party list names nitheeshk@rajagiritech.edu.in; unverified</t>
  </si>
  <si>
    <t xml:space="preserve">Private engineering colleges</t>
  </si>
  <si>
    <t xml:space="preserve">VNR VJIET / CVR / BVRIT</t>
  </si>
  <si>
    <t xml:space="preserve">Incubation</t>
  </si>
  <si>
    <t xml:space="preserve">Blocked: no incubator page found</t>
  </si>
  <si>
    <t xml:space="preserve">Sri Eshwar College of Engineering</t>
  </si>
  <si>
    <t xml:space="preserve">Centre for Innovation / IGNITE</t>
  </si>
  <si>
    <t xml:space="preserve">Dr. Maheswari Raja, Dean of Innovation</t>
  </si>
  <si>
    <t xml:space="preserve">deaninnovation@sece.ac.in</t>
  </si>
  <si>
    <t xml:space="preserve">External Mentor for IGNITE, Sri Eshwar College of Engineering</t>
  </si>
  <si>
    <t xml:space="preserve">18 CoEs; IGNITE accelerator, 9 startups</t>
  </si>
  <si>
    <t xml:space="preserve">sece.ac.in/innovation</t>
  </si>
  <si>
    <t xml:space="preserve">National Engineering College, Kovilpatti</t>
  </si>
  <si>
    <t xml:space="preserve">K.R. Innovation Centre (DST i-TBI)</t>
  </si>
  <si>
    <t xml:space="preserve">bicnec@nec.edu.in</t>
  </si>
  <si>
    <t xml:space="preserve">External Mentor for K.R. Innovation Centre, NEC</t>
  </si>
  <si>
    <t xml:space="preserve">i-TBI cohort, ignition grants; agritech, IoT, robotics</t>
  </si>
  <si>
    <t xml:space="preserve">necitbi.org</t>
  </si>
  <si>
    <t xml:space="preserve">Vel Tech</t>
  </si>
  <si>
    <t xml:space="preserve">Vel Tech TBI</t>
  </si>
  <si>
    <t xml:space="preserve">CEO</t>
  </si>
  <si>
    <t xml:space="preserve">incubation@veltechtbi.com</t>
  </si>
  <si>
    <t xml:space="preserve">External Mentor for Vel Tech TBI</t>
  </si>
  <si>
    <t xml:space="preserve">NIDHI CoE Manufacturing; first incubator with NVIDIA DGX-1</t>
  </si>
  <si>
    <t xml:space="preserve">ISTI portal; veltechtbi.com</t>
  </si>
  <si>
    <t xml:space="preserve">Karunya</t>
  </si>
  <si>
    <t xml:space="preserve">K-TBIP</t>
  </si>
  <si>
    <t xml:space="preserve">Dr. K. R. S. Krishnan, Director I&amp;E</t>
  </si>
  <si>
    <t xml:space="preserve">director_ie@karunya.edu</t>
  </si>
  <si>
    <t xml:space="preserve">External Mentor for Karunya Technology Business Incubation Park</t>
  </si>
  <si>
    <t xml:space="preserve">Design thinking led; 32 active products 2025-26</t>
  </si>
  <si>
    <t xml:space="preserve">karunya.edu/ktbip</t>
  </si>
  <si>
    <t xml:space="preserve">Sri Venkateswara College of Engineering</t>
  </si>
  <si>
    <t xml:space="preserve">SVCE EPIC</t>
  </si>
  <si>
    <t xml:space="preserve">Dr. S. Ilaiyavel, Manager Incubation</t>
  </si>
  <si>
    <t xml:space="preserve">epic@svce.ac.in</t>
  </si>
  <si>
    <t xml:space="preserve">External Mentor for SVCE EPIC</t>
  </si>
  <si>
    <t xml:space="preserve">Since 2003; MSME incubator; SVCE-AAVIN 5th batch</t>
  </si>
  <si>
    <t xml:space="preserve">svce.ac.in EPIC contact</t>
  </si>
  <si>
    <t xml:space="preserve">cc ilaiyavel@svce.ac.in</t>
  </si>
  <si>
    <t xml:space="preserve">Mepco Schlenk</t>
  </si>
  <si>
    <t xml:space="preserve">Sri Ramakrishna Engineering College</t>
  </si>
  <si>
    <t xml:space="preserve">MSME incubator</t>
  </si>
  <si>
    <t xml:space="preserve">Blocked: only MBA director email on ISTI</t>
  </si>
  <si>
    <t xml:space="preserve">B.S. Abdur Rahman Crescent</t>
  </si>
  <si>
    <t xml:space="preserve">CIIC</t>
  </si>
  <si>
    <t xml:space="preserve">Blocked: ciic.ventures returns 403</t>
  </si>
  <si>
    <t xml:space="preserve">Karpagam</t>
  </si>
  <si>
    <t xml:space="preserve">KIIC</t>
  </si>
  <si>
    <t xml:space="preserve">Blocked: kiic.in unreachable</t>
  </si>
  <si>
    <t xml:space="preserve">Dr. Mahalingam / KSR / SKCET</t>
  </si>
  <si>
    <t xml:space="preserve">Blocked: no incubator email found</t>
  </si>
  <si>
    <t xml:space="preserve">FISAT</t>
  </si>
  <si>
    <t xml:space="preserve">Federal Labz</t>
  </si>
  <si>
    <t xml:space="preserve">Tom Anto</t>
  </si>
  <si>
    <t xml:space="preserve">tomanto@fisat.ac.in</t>
  </si>
  <si>
    <t xml:space="preserve">External Mentor for Federal Labz, FISAT</t>
  </si>
  <si>
    <t xml:space="preserve">TBI upgrade with KSUM; low cost indigenous tech</t>
  </si>
  <si>
    <t xml:space="preserve">fisat.ac.in/federal-labz</t>
  </si>
  <si>
    <t xml:space="preserve">SR University</t>
  </si>
  <si>
    <t xml:space="preserve">SRiX</t>
  </si>
  <si>
    <t xml:space="preserve">info@srix.in</t>
  </si>
  <si>
    <t xml:space="preserve">External Mentor for SRiX, SR University</t>
  </si>
  <si>
    <t xml:space="preserve">171+ startups, 103 funded; InnovationX, SPRINT</t>
  </si>
  <si>
    <t xml:space="preserve">srix.in</t>
  </si>
  <si>
    <t xml:space="preserve">V R Siddhartha Engineering College</t>
  </si>
  <si>
    <t xml:space="preserve">V R Siddhartha TBI Foundation</t>
  </si>
  <si>
    <t xml:space="preserve">Paladugu Lakshmana Rao, Director and Secretary</t>
  </si>
  <si>
    <t xml:space="preserve">paladugulakshmanarao@gmail.com</t>
  </si>
  <si>
    <t xml:space="preserve">External Mentor for V R Siddhartha TBI Foundation</t>
  </si>
  <si>
    <t xml:space="preserve">Smart agri, healthcare, rural; 20 startups</t>
  </si>
  <si>
    <t xml:space="preserve">siddhartha.edu.in/incubation-centre</t>
  </si>
  <si>
    <t xml:space="preserve">Gmail address is the one listed on the official page</t>
  </si>
  <si>
    <t xml:space="preserve">Sahrdaya</t>
  </si>
  <si>
    <t xml:space="preserve">STBI</t>
  </si>
  <si>
    <t xml:space="preserve">Blocked: no email on official page</t>
  </si>
  <si>
    <t xml:space="preserve">Saintgits / Marian / Mar Baselios</t>
  </si>
  <si>
    <t xml:space="preserve">Blocked: no official incubator page found</t>
  </si>
  <si>
    <t xml:space="preserve">Nalla Malla Reddy / Malla Reddy</t>
  </si>
  <si>
    <t xml:space="preserve">Blocked: only general college email</t>
  </si>
  <si>
    <t xml:space="preserve">Aditya / Vishnu / GMRIT / Sreenidhi</t>
  </si>
  <si>
    <t xml:space="preserve">Blocked: page 404 or none found</t>
  </si>
  <si>
    <t xml:space="preserve">JSS Science and Technology University</t>
  </si>
  <si>
    <t xml:space="preserve">SJCE-STEP</t>
  </si>
  <si>
    <t xml:space="preserve">info@sjce-step.in</t>
  </si>
  <si>
    <t xml:space="preserve">External Mentor for SJCE-STEP</t>
  </si>
  <si>
    <t xml:space="preserve">NIDHI-PRAYAS; deep tech workshops</t>
  </si>
  <si>
    <t xml:space="preserve">sjcestep.in/contact</t>
  </si>
  <si>
    <t xml:space="preserve">Sharda University</t>
  </si>
  <si>
    <t xml:space="preserve">Sharda Launchpad</t>
  </si>
  <si>
    <t xml:space="preserve">launchpad@sharda.ac.in</t>
  </si>
  <si>
    <t xml:space="preserve">Industry Mentor for Sharda Launchpad</t>
  </si>
  <si>
    <t xml:space="preserve">Syncubator (industry mentors), Xcelerator, F&amp;B accelerator</t>
  </si>
  <si>
    <t xml:space="preserve">launchpad.sharda.ac.in</t>
  </si>
  <si>
    <t xml:space="preserve">Positive reply</t>
  </si>
  <si>
    <t xml:space="preserve">Director Dr. Amit Sehgal forwarded to Akshat Gupta to onboard you via the mentor onboarding form (26 Sep)</t>
  </si>
  <si>
    <t xml:space="preserve">RK University</t>
  </si>
  <si>
    <t xml:space="preserve">K S Patel Centre for Entrepreneurship</t>
  </si>
  <si>
    <t xml:space="preserve">incubation@rku.ac.in</t>
  </si>
  <si>
    <t xml:space="preserve">External Mentor for K S Patel Centre for Entrepreneurship, RK University</t>
  </si>
  <si>
    <t xml:space="preserve">Nodal centre for Saurashtra; IPR support</t>
  </si>
  <si>
    <t xml:space="preserve">rku.ac.in</t>
  </si>
  <si>
    <t xml:space="preserve">Deemed university (engineering)</t>
  </si>
  <si>
    <t xml:space="preserve">Institute of Chemical Technology</t>
  </si>
  <si>
    <t xml:space="preserve">ICT-NICE Venture Incubator</t>
  </si>
  <si>
    <t xml:space="preserve">ict.nice@ictmumbai.edu.in</t>
  </si>
  <si>
    <t xml:space="preserve">External Mentor for ICT-NICE Venture Incubator</t>
  </si>
  <si>
    <t xml:space="preserve">Food/chem/biotech, clean energy, circular economy</t>
  </si>
  <si>
    <t xml:space="preserve">Government incubator host list (s3waas); fundsforngos call</t>
  </si>
  <si>
    <t xml:space="preserve">REVA University</t>
  </si>
  <si>
    <t xml:space="preserve">REVA NEST</t>
  </si>
  <si>
    <t xml:space="preserve">Blocked: revanest.com fetch not permitted in session</t>
  </si>
  <si>
    <t xml:space="preserve">Siddaganga Institute of Technology</t>
  </si>
  <si>
    <t xml:space="preserve">Siddaganga Incubation Foundation</t>
  </si>
  <si>
    <t xml:space="preserve">Dr. M. N. Channabasappa, Director</t>
  </si>
  <si>
    <t xml:space="preserve">Blocked: no email found; contact page fetch not permitted</t>
  </si>
  <si>
    <t xml:space="preserve">Alliance University</t>
  </si>
  <si>
    <t xml:space="preserve">AU-TBI</t>
  </si>
  <si>
    <t xml:space="preserve">Blocked: only programme admissions email</t>
  </si>
  <si>
    <t xml:space="preserve">Presidency University</t>
  </si>
  <si>
    <t xml:space="preserve">Presidency LaunchPad</t>
  </si>
  <si>
    <t xml:space="preserve">Blocked: only admissions email</t>
  </si>
  <si>
    <t xml:space="preserve">BMSCE / NMIT</t>
  </si>
  <si>
    <t xml:space="preserve">KIET Group of Institutions</t>
  </si>
  <si>
    <t xml:space="preserve">TBI-KIET (Krishna Path Incubation Society)</t>
  </si>
  <si>
    <t xml:space="preserve">tbikiet@gmail.com</t>
  </si>
  <si>
    <t xml:space="preserve">External Mentor for TBI-KIET</t>
  </si>
  <si>
    <t xml:space="preserve">Since 2007; ICT, robotics, e-mobility; Growth Connect, GENESIS</t>
  </si>
  <si>
    <t xml:space="preserve">tbi-kiet.in</t>
  </si>
  <si>
    <t xml:space="preserve">Gmail is the official listed address</t>
  </si>
  <si>
    <t xml:space="preserve">Techno India University</t>
  </si>
  <si>
    <t xml:space="preserve">AIC Techno</t>
  </si>
  <si>
    <t xml:space="preserve">contact@aic-techno.com</t>
  </si>
  <si>
    <t xml:space="preserve">External Mentor for AIC Techno, Techno India University</t>
  </si>
  <si>
    <t xml:space="preserve">West Bengal's first AIC; social innovation, emerging tech, media/design</t>
  </si>
  <si>
    <t xml:space="preserve">aic-techno.com</t>
  </si>
  <si>
    <t xml:space="preserve">NMIMS</t>
  </si>
  <si>
    <t xml:space="preserve">AIC-NMIMS</t>
  </si>
  <si>
    <t xml:space="preserve">aic@nmims.edu</t>
  </si>
  <si>
    <t xml:space="preserve">Industry Mentor for AIC-NMIMS</t>
  </si>
  <si>
    <t xml:space="preserve">Business/finance/legal/marketing advisory; faculty + industry mentors</t>
  </si>
  <si>
    <t xml:space="preserve">aic.nmims.edu</t>
  </si>
  <si>
    <t xml:space="preserve">Somaiya Vidyavihar</t>
  </si>
  <si>
    <t xml:space="preserve">riidl</t>
  </si>
  <si>
    <t xml:space="preserve">Blocked: no email on site</t>
  </si>
  <si>
    <t xml:space="preserve">160+ startups; strong target via LinkedIn</t>
  </si>
  <si>
    <t xml:space="preserve">Manipal University Jaipur</t>
  </si>
  <si>
    <t xml:space="preserve">AIC-MUJ</t>
  </si>
  <si>
    <t xml:space="preserve">Blocked: site 403</t>
  </si>
  <si>
    <t xml:space="preserve">Bennett University</t>
  </si>
  <si>
    <t xml:space="preserve">Bennett Hatchery (CIE)</t>
  </si>
  <si>
    <t xml:space="preserve">Manish Mathur</t>
  </si>
  <si>
    <t xml:space="preserve">manish.mathur@bennett.edu.in</t>
  </si>
  <si>
    <t xml:space="preserve">External Mentor for Bennett Hatchery</t>
  </si>
  <si>
    <t xml:space="preserve">AI/ML, fintech, edtech, manufacturing tech focus</t>
  </si>
  <si>
    <t xml:space="preserve">UP Startup portal (startinup.up.gov.in)</t>
  </si>
  <si>
    <t xml:space="preserve">JECRC University</t>
  </si>
  <si>
    <t xml:space="preserve">JECRC Incubation Centre</t>
  </si>
  <si>
    <t xml:space="preserve">jic@jecrc.ac.in</t>
  </si>
  <si>
    <t xml:space="preserve">External Mentor for JECRC Incubation Centre</t>
  </si>
  <si>
    <t xml:space="preserve">Student innovators; mentorship, co-working, seed funding</t>
  </si>
  <si>
    <t xml:space="preserve">jicfoundation.co.in contact</t>
  </si>
  <si>
    <t xml:space="preserve">GLS University</t>
  </si>
  <si>
    <t xml:space="preserve">LEAF</t>
  </si>
  <si>
    <t xml:space="preserve">Dr. Rajesh Asrani</t>
  </si>
  <si>
    <t xml:space="preserve">rajesh@glsuniversity.ac.in</t>
  </si>
  <si>
    <t xml:space="preserve">External Mentor for LEAF, GLS University</t>
  </si>
  <si>
    <t xml:space="preserve">Nodal institute Ahmedabad; 120 seat TBI</t>
  </si>
  <si>
    <t xml:space="preserve">glsuniversity.ac.in; DST TBI list (2023)</t>
  </si>
  <si>
    <t xml:space="preserve">Email from DST list; name may be dated</t>
  </si>
  <si>
    <t xml:space="preserve">C V Raman Global University</t>
  </si>
  <si>
    <t xml:space="preserve">CVRCE TBI / AIC-CVRCEF</t>
  </si>
  <si>
    <t xml:space="preserve">Blocked: only general/admissions email</t>
  </si>
  <si>
    <t xml:space="preserve">Deemed university</t>
  </si>
  <si>
    <t xml:space="preserve">BIT Mesra</t>
  </si>
  <si>
    <t xml:space="preserve">Various</t>
  </si>
  <si>
    <t xml:space="preserve">Other UP portal listings (ABES, JSS, etc.)</t>
  </si>
  <si>
    <t xml:space="preserve">Blocked: portal pages not reachable without approval</t>
  </si>
  <si>
    <t xml:space="preserve">D Y Patil College of Engineering &amp; Innovation</t>
  </si>
  <si>
    <t xml:space="preserve">DYPCOEI Incubation Centre</t>
  </si>
  <si>
    <t xml:space="preserve">dypcoei_incubation@dypatilef.com</t>
  </si>
  <si>
    <t xml:space="preserve">External Mentor for DYPCOEI Incubation Centre</t>
  </si>
  <si>
    <t xml:space="preserve">Generic opener (site had little detail)</t>
  </si>
  <si>
    <t xml:space="preserve">dypcoeiincubationcentre.com/contact.html</t>
  </si>
  <si>
    <t xml:space="preserve">Weak personalization; review before sending</t>
  </si>
  <si>
    <t xml:space="preserve">CHARUSAT</t>
  </si>
  <si>
    <t xml:space="preserve">CSIC</t>
  </si>
  <si>
    <t xml:space="preserve">Dr. Jaimin Undavia, Director</t>
  </si>
  <si>
    <t xml:space="preserve">csic@charusat.ac.in</t>
  </si>
  <si>
    <t xml:space="preserve">External Mentor for CHARUSAT Startup and Innovation Centre</t>
  </si>
  <si>
    <t xml:space="preserve">Vision statement; Charusat Innovative Ventures Foundation</t>
  </si>
  <si>
    <t xml:space="preserve">charusat.ac.in/csic</t>
  </si>
  <si>
    <t xml:space="preserve">Galgotias University</t>
  </si>
  <si>
    <t xml:space="preserve">GIC RISE</t>
  </si>
  <si>
    <t xml:space="preserve">Director</t>
  </si>
  <si>
    <t xml:space="preserve">director.gicrise@galgotiasuniversity.edu.in</t>
  </si>
  <si>
    <t xml:space="preserve">External Mentor for GIC RISE, Galgotias University</t>
  </si>
  <si>
    <t xml:space="preserve">AI, telemedicine, agtech, manufacturing</t>
  </si>
  <si>
    <t xml:space="preserve">UP Startup portal</t>
  </si>
  <si>
    <t xml:space="preserve">GL Bajaj Institute of Technology and Management</t>
  </si>
  <si>
    <t xml:space="preserve">GLBCRI</t>
  </si>
  <si>
    <t xml:space="preserve">Dr. P.S. Pandey, General Manager</t>
  </si>
  <si>
    <t xml:space="preserve">glbcri@glbitm.ac.in</t>
  </si>
  <si>
    <t xml:space="preserve">External Mentor for GL Bajaj Center for Research and Incubation</t>
  </si>
  <si>
    <t xml:space="preserve">NIDHI PRAYAS, Start in UP, MSME Ideathon</t>
  </si>
  <si>
    <t xml:space="preserve">UP Startup portal; glbcri.org</t>
  </si>
  <si>
    <t xml:space="preserve">Ganpat University</t>
  </si>
  <si>
    <t xml:space="preserve">GUNI-IC</t>
  </si>
  <si>
    <t xml:space="preserve">Graphic Era</t>
  </si>
  <si>
    <t xml:space="preserve">TBI GEU</t>
  </si>
  <si>
    <t xml:space="preserve">Blocked: only an old rediffmail address on ISTI</t>
  </si>
  <si>
    <t xml:space="preserve">VIIT Pune / KIT Kolhapur / Medi-Caps (MP) / Vels (TN)</t>
  </si>
  <si>
    <t xml:space="preserve">Blocked: sites unreachable or email hidden</t>
  </si>
  <si>
    <t xml:space="preserve">Government startup hub</t>
  </si>
  <si>
    <t xml:space="preserve">Dubai Holding / Dubai Internet City</t>
  </si>
  <si>
    <t xml:space="preserve">in5</t>
  </si>
  <si>
    <t xml:space="preserve">info@in5.ae</t>
  </si>
  <si>
    <t xml:space="preserve">Mentoring Support for in5 Founders</t>
  </si>
  <si>
    <t xml:space="preserve">Four verticals; 940+ startups</t>
  </si>
  <si>
    <t xml:space="preserve">dic.ae in5 page</t>
  </si>
  <si>
    <t xml:space="preserve">UAE (Sharjah)</t>
  </si>
  <si>
    <t xml:space="preserve">American University of Sharjah</t>
  </si>
  <si>
    <t xml:space="preserve">Center for Entrepreneurship and Innovation</t>
  </si>
  <si>
    <t xml:space="preserve">Dr. Jay Squalli, Director</t>
  </si>
  <si>
    <t xml:space="preserve">cei@aus.edu</t>
  </si>
  <si>
    <t xml:space="preserve">Mentoring Support for AUS Center for Entrepreneurship and Innovation</t>
  </si>
  <si>
    <t xml:space="preserve">Spark/Shape/Scale; Dragon's Den; Sheraa links</t>
  </si>
  <si>
    <t xml:space="preserve">aus.edu/sba/research/cei</t>
  </si>
  <si>
    <t xml:space="preserve">Public university</t>
  </si>
  <si>
    <t xml:space="preserve">King Abdulaziz University</t>
  </si>
  <si>
    <t xml:space="preserve">Center for Innovation and Entrepreneurship</t>
  </si>
  <si>
    <t xml:space="preserve">iec@kau.edu.sa</t>
  </si>
  <si>
    <t xml:space="preserve">Mentoring Support for KAU Center for Innovation and Entrepreneurship</t>
  </si>
  <si>
    <t xml:space="preserve">Research to startups; Vision 2030</t>
  </si>
  <si>
    <t xml:space="preserve">kau.edu.sa CIE page</t>
  </si>
  <si>
    <t xml:space="preserve">Australian University, Kuwait</t>
  </si>
  <si>
    <t xml:space="preserve">CIE / AU Valley</t>
  </si>
  <si>
    <t xml:space="preserve">Dr. Suad Al Radhwan, Manager</t>
  </si>
  <si>
    <t xml:space="preserve">innovate@au.edu.kw</t>
  </si>
  <si>
    <t xml:space="preserve">Mentoring Support for AU Valley, Australian University</t>
  </si>
  <si>
    <t xml:space="preserve">AU Valley; Lead Your Future competition</t>
  </si>
  <si>
    <t xml:space="preserve">au.edu.kw CIE page</t>
  </si>
  <si>
    <t xml:space="preserve">cc s.alradhwan@au.edu.kw</t>
  </si>
  <si>
    <t xml:space="preserve">Ecosystem platform</t>
  </si>
  <si>
    <t xml:space="preserve">StartUp Bahrain</t>
  </si>
  <si>
    <t xml:space="preserve">help@startupbahrain.com</t>
  </si>
  <si>
    <t xml:space="preserve">Mentoring Support for Bahrain's Startup Community</t>
  </si>
  <si>
    <t xml:space="preserve">Ecosystem convener; Tamkeen, Riyada, Brinc, Flat6Labs</t>
  </si>
  <si>
    <t xml:space="preserve">startupbahrain.com/contact</t>
  </si>
  <si>
    <t xml:space="preserve">Not a university; best verified Bahrain contact</t>
  </si>
  <si>
    <t xml:space="preserve">National University of Science and Technology</t>
  </si>
  <si>
    <t xml:space="preserve">NU incubator / Dept. of Professional Development</t>
  </si>
  <si>
    <t xml:space="preserve">engineering@nu.edu.om</t>
  </si>
  <si>
    <t xml:space="preserve">Mentoring Support for NU Oman Student Entrepreneurs</t>
  </si>
  <si>
    <t xml:space="preserve">Entrepreneurs' Fair; incubator; Ruwaad club</t>
  </si>
  <si>
    <t xml:space="preserve">nu.edu.om entrepreneurs fair page</t>
  </si>
  <si>
    <t xml:space="preserve">College inbox; asks them to forward to incubator lead</t>
  </si>
  <si>
    <t xml:space="preserve">Bounced</t>
  </si>
  <si>
    <t xml:space="preserve">Delivery failed (address not found, blocked or server misconfigured)</t>
  </si>
  <si>
    <t xml:space="preserve">Government hub</t>
  </si>
  <si>
    <t xml:space="preserve">Sheraa</t>
  </si>
  <si>
    <t xml:space="preserve">Sara Al Nuaimi, CEO</t>
  </si>
  <si>
    <t xml:space="preserve">Hubs at AUS and University of Sharjah</t>
  </si>
  <si>
    <t xml:space="preserve">Middlesex University Dubai</t>
  </si>
  <si>
    <t xml:space="preserve">MDX Innovation Hub</t>
  </si>
  <si>
    <t xml:space="preserve">Blocked: no hub email</t>
  </si>
  <si>
    <t xml:space="preserve">Free zone hub</t>
  </si>
  <si>
    <t xml:space="preserve">Dubai Silicon Oasis</t>
  </si>
  <si>
    <t xml:space="preserve">Dtec</t>
  </si>
  <si>
    <t xml:space="preserve">1,000+ startups; strong target</t>
  </si>
  <si>
    <t xml:space="preserve">Sultan Qaboos University</t>
  </si>
  <si>
    <t xml:space="preserve">Innovation Center</t>
  </si>
  <si>
    <t xml:space="preserve">Sohar University</t>
  </si>
  <si>
    <t xml:space="preserve">Technology Transfer and Incubation Centre</t>
  </si>
  <si>
    <t xml:space="preserve">Prof. Ghassan Al Kindi, PVC Research &amp; Innovation</t>
  </si>
  <si>
    <t xml:space="preserve">New RO 4m Innovation Centre under construction</t>
  </si>
  <si>
    <t xml:space="preserve">Government / corporate</t>
  </si>
  <si>
    <t xml:space="preserve">Oman Startup Hub / OTF Techween / Omantel Accelerator</t>
  </si>
  <si>
    <t xml:space="preserve">Mentor programmes</t>
  </si>
  <si>
    <t xml:space="preserve">Blocked: registration forms only</t>
  </si>
  <si>
    <t xml:space="preserve">Register as mentor at omanstartuphub.om/mentors</t>
  </si>
  <si>
    <t xml:space="preserve">Public polytechnic</t>
  </si>
  <si>
    <t xml:space="preserve">Bahrain Polytechnic</t>
  </si>
  <si>
    <t xml:space="preserve">Innovation Centre</t>
  </si>
  <si>
    <t xml:space="preserve">Fatima Tammam, Head</t>
  </si>
  <si>
    <t xml:space="preserve">Blocked: no email found</t>
  </si>
  <si>
    <t xml:space="preserve">Startup Demo Day June 2026</t>
  </si>
  <si>
    <t xml:space="preserve">American University of Bahrain</t>
  </si>
  <si>
    <t xml:space="preserve">Investcorp Innovation Lab</t>
  </si>
  <si>
    <t xml:space="preserve">Private universities</t>
  </si>
  <si>
    <t xml:space="preserve">PMU / Prince Sultan / Alfaisal</t>
  </si>
  <si>
    <t xml:space="preserve">Entrepreneurship centres</t>
  </si>
  <si>
    <t xml:space="preserve">Australian College of Kuwait</t>
  </si>
  <si>
    <t xml:space="preserve">Innovation and Entrepreneurship CoE</t>
  </si>
  <si>
    <t xml:space="preserve">Private university (branch)</t>
  </si>
  <si>
    <t xml:space="preserve">BITS Pilani Dubai</t>
  </si>
  <si>
    <t xml:space="preserve">CIIED</t>
  </si>
  <si>
    <t xml:space="preserve">ciie@dubai.bits-pilani.ac.in</t>
  </si>
  <si>
    <t xml:space="preserve">External Mentor for CIIED, BITS Pilani Dubai</t>
  </si>
  <si>
    <t xml:space="preserve">Student ventures Voicera, Navifly, Sentient Labs</t>
  </si>
  <si>
    <t xml:space="preserve">ciied.netlify.app</t>
  </si>
  <si>
    <t xml:space="preserve">Startup platform</t>
  </si>
  <si>
    <t xml:space="preserve">AstroLabs</t>
  </si>
  <si>
    <t xml:space="preserve">navigate@astrolabs.com</t>
  </si>
  <si>
    <t xml:space="preserve">Mentoring Support for AstroLabs Founders</t>
  </si>
  <si>
    <t xml:space="preserve">Market entry and scaling in Dubai</t>
  </si>
  <si>
    <t xml:space="preserve">entrepreneurs.ae UAE incubator directory</t>
  </si>
  <si>
    <t xml:space="preserve">Directory email; may be dated</t>
  </si>
  <si>
    <t xml:space="preserve">dtec@dso.ae</t>
  </si>
  <si>
    <t xml:space="preserve">Mentoring Support for Dtec Founders</t>
  </si>
  <si>
    <t xml:space="preserve">Largest MENA tech campus; Sandbox; 1,000+ startups</t>
  </si>
  <si>
    <t xml:space="preserve">entrepreneurs.ae UAE incubator directory; dtec.ae</t>
  </si>
  <si>
    <t xml:space="preserve">Government accelerator</t>
  </si>
  <si>
    <t xml:space="preserve">Dubai Future Foundation</t>
  </si>
  <si>
    <t xml:space="preserve">Dubai Future Accelerators</t>
  </si>
  <si>
    <t xml:space="preserve">dfa@dubaifuture.gov.ae</t>
  </si>
  <si>
    <t xml:space="preserve">Mentoring Support for Dubai Future Accelerators</t>
  </si>
  <si>
    <t xml:space="preserve">Startups x government challenges; 250+ startups, 37 countries</t>
  </si>
  <si>
    <t xml:space="preserve">entrepreneurs.ae UAE incubator directory; dubaifuturedistrict.ae</t>
  </si>
  <si>
    <t xml:space="preserve">Government incubator</t>
  </si>
  <si>
    <t xml:space="preserve">Dubai SME</t>
  </si>
  <si>
    <t xml:space="preserve">Hamdan Innovation Incubator (Hi2)</t>
  </si>
  <si>
    <t xml:space="preserve">info@sme.ae</t>
  </si>
  <si>
    <t xml:space="preserve">Mentoring Support for Hamdan Innovation Incubator</t>
  </si>
  <si>
    <t xml:space="preserve">Emirati founders; certifies university incubators</t>
  </si>
  <si>
    <t xml:space="preserve">Asks to forward to Hi2</t>
  </si>
  <si>
    <t xml:space="preserve">Auto reply</t>
  </si>
  <si>
    <t xml:space="preserve">Dubai SME acknowledgement</t>
  </si>
  <si>
    <t xml:space="preserve">Financial centre accelerator</t>
  </si>
  <si>
    <t xml:space="preserve">DIFC</t>
  </si>
  <si>
    <t xml:space="preserve">FinTech Hive</t>
  </si>
  <si>
    <t xml:space="preserve">admin@fintechhive.ae</t>
  </si>
  <si>
    <t xml:space="preserve">Mentoring Support for DIFC FinTech Hive</t>
  </si>
  <si>
    <t xml:space="preserve">First regional fintech accelerator; Mashreq banking angle</t>
  </si>
  <si>
    <t xml:space="preserve">info@sheraa.ae</t>
  </si>
  <si>
    <t xml:space="preserve">Mentoring Support for Sheraa Founders</t>
  </si>
  <si>
    <t xml:space="preserve">Hubs at SRTIP, AUS, UoS; Deal Dock</t>
  </si>
  <si>
    <t xml:space="preserve">UAE (Abu Dhabi)</t>
  </si>
  <si>
    <t xml:space="preserve">NYU Abu Dhabi</t>
  </si>
  <si>
    <t xml:space="preserve">startAD</t>
  </si>
  <si>
    <t xml:space="preserve">startAD@nyu.edu</t>
  </si>
  <si>
    <t xml:space="preserve">Mentoring Support for startAD, NYU Abu Dhabi</t>
  </si>
  <si>
    <t xml:space="preserve">AI for Good, Sandbox, NYUAD Incubator</t>
  </si>
  <si>
    <t xml:space="preserve">startad.ae/programs</t>
  </si>
  <si>
    <t xml:space="preserve">Hub71</t>
  </si>
  <si>
    <t xml:space="preserve">info@hub71.com</t>
  </si>
  <si>
    <t xml:space="preserve">Mentoring Support for Hub71 Startups</t>
  </si>
  <si>
    <t xml:space="preserve">Global startups to Abu Dhabi; Access Programme</t>
  </si>
  <si>
    <t xml:space="preserve">entrepreneurs.ae UAE incubator directory; hub71.com/contact</t>
  </si>
  <si>
    <t xml:space="preserve">Generic thank you</t>
  </si>
  <si>
    <t xml:space="preserve">UAE (Ajman)</t>
  </si>
  <si>
    <t xml:space="preserve">Ajman University</t>
  </si>
  <si>
    <t xml:space="preserve">AUIC</t>
  </si>
  <si>
    <t xml:space="preserve">Blocked: site rejects requests</t>
  </si>
  <si>
    <t xml:space="preserve">115 startups; Hi2 certified</t>
  </si>
  <si>
    <t xml:space="preserve">Zayed University</t>
  </si>
  <si>
    <t xml:space="preserve">Innovation and Entrepreneurship Center</t>
  </si>
  <si>
    <t xml:space="preserve">Manipal Dubai / UOWD / Canadian Univ / RIT Dubai / Birmingham Dubai / Murdoch / BUiD</t>
  </si>
  <si>
    <t xml:space="preserve">No incubator or no email</t>
  </si>
  <si>
    <t xml:space="preserve">Only admissions/general inboxes</t>
  </si>
  <si>
    <t xml:space="preserve">Amity group already contacted</t>
  </si>
  <si>
    <t xml:space="preserve">NIT Trichy</t>
  </si>
  <si>
    <t xml:space="preserve">CEDI</t>
  </si>
  <si>
    <t xml:space="preserve">cedi@nitt.edu</t>
  </si>
  <si>
    <t xml:space="preserve">External Mentor for CEDI, NIT Trichy</t>
  </si>
  <si>
    <t xml:space="preserve">(no opening paragraph, per new format)</t>
  </si>
  <si>
    <t xml:space="preserve">ISTI portal</t>
  </si>
  <si>
    <t xml:space="preserve">Incubator (NIT Trichy area)</t>
  </si>
  <si>
    <t xml:space="preserve">NIT Trichy / REC</t>
  </si>
  <si>
    <t xml:space="preserve">TREC-STEP</t>
  </si>
  <si>
    <t xml:space="preserve">R.M.P. Jawahar, Executive Director</t>
  </si>
  <si>
    <t xml:space="preserve">jawa_ts@yahoo.com</t>
  </si>
  <si>
    <t xml:space="preserve">External Mentor for TREC-STEP</t>
  </si>
  <si>
    <t xml:space="preserve">trecstep.com/contact</t>
  </si>
  <si>
    <t xml:space="preserve">Personal Yahoo listed on official site</t>
  </si>
  <si>
    <t xml:space="preserve">Coimbatore Innovation and Business Incubator (CIBI)</t>
  </si>
  <si>
    <t xml:space="preserve">Vishwanath</t>
  </si>
  <si>
    <t xml:space="preserve">vishwanath@kctbs.ac.in</t>
  </si>
  <si>
    <t xml:space="preserve">External Mentor for Coimbatore Innovation and Business Incubator (KCT)</t>
  </si>
  <si>
    <t xml:space="preserve">Resolves earlier KCT block</t>
  </si>
  <si>
    <t xml:space="preserve">Murali</t>
  </si>
  <si>
    <t xml:space="preserve">murali@tce.edu</t>
  </si>
  <si>
    <t xml:space="preserve">External Mentor for TCE TBI</t>
  </si>
  <si>
    <t xml:space="preserve">Resolves earlier TCE block</t>
  </si>
  <si>
    <t xml:space="preserve">State university</t>
  </si>
  <si>
    <t xml:space="preserve">TBI (biotech)</t>
  </si>
  <si>
    <t xml:space="preserve">meenakshi@annauniv.edu</t>
  </si>
  <si>
    <t xml:space="preserve">External Mentor for Anna University TBI</t>
  </si>
  <si>
    <t xml:space="preserve">Older listing; asks to forward</t>
  </si>
  <si>
    <t xml:space="preserve">Centre for Entrepreneurship Development (CED)</t>
  </si>
  <si>
    <t xml:space="preserve">Director, CED</t>
  </si>
  <si>
    <t xml:space="preserve">dirced@annauniv.edu</t>
  </si>
  <si>
    <t xml:space="preserve">External Mentor for CED, Anna University</t>
  </si>
  <si>
    <t xml:space="preserve">auced.com/contact</t>
  </si>
  <si>
    <t xml:space="preserve">IIITDM Kancheepuram</t>
  </si>
  <si>
    <t xml:space="preserve">MaDeIT Innovation Foundation</t>
  </si>
  <si>
    <t xml:space="preserve">incubation_madeit@iiitdm.ac.in</t>
  </si>
  <si>
    <t xml:space="preserve">External Mentor for MaDeIT Innovation Foundation</t>
  </si>
  <si>
    <t xml:space="preserve">madeit.iiitdm.ac.in</t>
  </si>
  <si>
    <t xml:space="preserve">startup@sathyabama.ac.in</t>
  </si>
  <si>
    <t xml:space="preserve">External Mentor for Sathyabama TBI</t>
  </si>
  <si>
    <t xml:space="preserve">sathyabama.ac.in CITT page</t>
  </si>
  <si>
    <t xml:space="preserve">Mentions your PhD at Sathyabama; also fill mentor form (linktr.ee/sathyabamatbi)</t>
  </si>
  <si>
    <t xml:space="preserve">Sri Sairam Techno Incubator Foundation</t>
  </si>
  <si>
    <t xml:space="preserve">incubation@sairam.edu.in</t>
  </si>
  <si>
    <t xml:space="preserve">External Mentor for Sri Sairam Techno Incubator Foundation</t>
  </si>
  <si>
    <t xml:space="preserve">sairamincubation.com</t>
  </si>
  <si>
    <t xml:space="preserve">Resolves earlier Sairam block</t>
  </si>
  <si>
    <t xml:space="preserve">KCG College of Technology</t>
  </si>
  <si>
    <t xml:space="preserve">KCG TBI</t>
  </si>
  <si>
    <t xml:space="preserve">vpacad@kcgcollege.com</t>
  </si>
  <si>
    <t xml:space="preserve">External Mentor for KCG TBI</t>
  </si>
  <si>
    <t xml:space="preserve">kcgtbi.com</t>
  </si>
  <si>
    <t xml:space="preserve">VP Academic inbox listed on TBI site</t>
  </si>
  <si>
    <t xml:space="preserve">PSR Engineering College</t>
  </si>
  <si>
    <t xml:space="preserve">PSR Innovation and Incubation Centre</t>
  </si>
  <si>
    <t xml:space="preserve">Dr. S. Edwin Jose, Coordinator</t>
  </si>
  <si>
    <t xml:space="preserve">edwinjose@psr.edu.in</t>
  </si>
  <si>
    <t xml:space="preserve">External Mentor for PSR Innovation and Incubation Centre</t>
  </si>
  <si>
    <t xml:space="preserve">psr.edu.in/incubation-center</t>
  </si>
  <si>
    <t xml:space="preserve">Shri Venkateshwara College of Engg &amp; Tech, Kanchipuram</t>
  </si>
  <si>
    <t xml:space="preserve">Technology Incubation Centre</t>
  </si>
  <si>
    <t xml:space="preserve">info@svcetech.org</t>
  </si>
  <si>
    <t xml:space="preserve">External Mentor for the Technology Incubation Centre, SVCET Kanchipuram</t>
  </si>
  <si>
    <t xml:space="preserve">General college inbox</t>
  </si>
  <si>
    <t xml:space="preserve">Crescent (BSACIST)</t>
  </si>
  <si>
    <t xml:space="preserve">M. Parvez Alam, CEO</t>
  </si>
  <si>
    <t xml:space="preserve">3rd top private bio-incubator (BioSpectrum)</t>
  </si>
  <si>
    <t xml:space="preserve">Saveetha (SIMATS)</t>
  </si>
  <si>
    <t xml:space="preserve">Incubation / STICK</t>
  </si>
  <si>
    <t xml:space="preserve">Coimbatore Institute of Technology</t>
  </si>
  <si>
    <t xml:space="preserve">Blocked: no incubator page/email</t>
  </si>
  <si>
    <t xml:space="preserve">Government college</t>
  </si>
  <si>
    <t xml:space="preserve">GCT Coimbatore</t>
  </si>
  <si>
    <t xml:space="preserve">Blocked: only principal email</t>
  </si>
  <si>
    <t xml:space="preserve">Periyar Maniammai (PMIST)</t>
  </si>
  <si>
    <t xml:space="preserve">Periyar TBI</t>
  </si>
  <si>
    <t xml:space="preserve">Blocked: email not shown on site</t>
  </si>
  <si>
    <t xml:space="preserve">Sethu Institute of Technology</t>
  </si>
  <si>
    <t xml:space="preserve">SRIC</t>
  </si>
  <si>
    <t xml:space="preserve">Blocked: no email</t>
  </si>
  <si>
    <t xml:space="preserve">Loyola-ICAM (LICET)</t>
  </si>
  <si>
    <t xml:space="preserve">Amith Kothari Incubation Centre</t>
  </si>
  <si>
    <t xml:space="preserve">BIHER (Bharath)</t>
  </si>
  <si>
    <t xml:space="preserve">BIHER Incubation Centre</t>
  </si>
  <si>
    <t xml:space="preserve">KSR College of Engineering</t>
  </si>
  <si>
    <t xml:space="preserve">StartupTN pre-incubation centre</t>
  </si>
  <si>
    <t xml:space="preserve">SREC / Dr NGP IT / Francis Xavier / Easwari / SKCET / Mepco / Velammal / Panimalar / St Joseph's / KPR / Karpagam</t>
  </si>
  <si>
    <t xml:space="preserve">University incubator</t>
  </si>
  <si>
    <t xml:space="preserve">SRM University AP</t>
  </si>
  <si>
    <t xml:space="preserve">Directorate of Entrepreneurship &amp; Innovation / Hatchlab</t>
  </si>
  <si>
    <t xml:space="preserve">Mr Srinivasan Thirumalai (Director)</t>
  </si>
  <si>
    <t xml:space="preserve">director.entr@srmap.edu.in</t>
  </si>
  <si>
    <t xml:space="preserve">External Mentor for SRM AP Hatchlab Founders</t>
  </si>
  <si>
    <t xml:space="preserve">Hatchlab; AI adoption; delivery</t>
  </si>
  <si>
    <t xml:space="preserve">srmap.edu.in/about-us/leadership/director-entrepreneurship-and-innovation</t>
  </si>
  <si>
    <t xml:space="preserve">College TBI</t>
  </si>
  <si>
    <t xml:space="preserve">Shri Vishnu Engineering College for Women (SVECW)</t>
  </si>
  <si>
    <t xml:space="preserve">Vishva - Vishnu Foundation TBI</t>
  </si>
  <si>
    <t xml:space="preserve">Team (CEO inbox)</t>
  </si>
  <si>
    <t xml:space="preserve">ceo@vishva.co; cc incubationmanager@vishva.co</t>
  </si>
  <si>
    <t xml:space="preserve">External Mentor for Vishva (Vishnu Foundation TBI)</t>
  </si>
  <si>
    <t xml:space="preserve">Prototype-to-product (medtech/assistive/agritech focus)</t>
  </si>
  <si>
    <t xml:space="preserve">vishva.co; DPIIT/Startup India host-institute incubator list (s3waas.gov.in, 2023)</t>
  </si>
  <si>
    <t xml:space="preserve">Aditya Engineering College / Aditya University</t>
  </si>
  <si>
    <t xml:space="preserve">Aditya Global Business Incubator (AGBI)</t>
  </si>
  <si>
    <t xml:space="preserve">Mr M N Madhav Rao (CEO)</t>
  </si>
  <si>
    <t xml:space="preserve">madhav@gbiindia.in</t>
  </si>
  <si>
    <t xml:space="preserve">External Mentor for Aditya Global Business Incubator</t>
  </si>
  <si>
    <t xml:space="preserve">AI &amp; FinTech focus; UAE banking</t>
  </si>
  <si>
    <t xml:space="preserve">Startup India TBI PI list (s3waas.gov.in 2023012454.pdf)</t>
  </si>
  <si>
    <t xml:space="preserve">Replaces earlier blocked Aditya lookup</t>
  </si>
  <si>
    <t xml:space="preserve">RVR &amp; JC College of Engineering</t>
  </si>
  <si>
    <t xml:space="preserve">RJ e-Nest (RVR &amp; JCCE STP Foundation, DST NIDHI-iTBI)</t>
  </si>
  <si>
    <t xml:space="preserve">Dr K. Praveen Kumar (CEO)</t>
  </si>
  <si>
    <t xml:space="preserve">rvrjccestpf@gmail.com</t>
  </si>
  <si>
    <t xml:space="preserve">External Mentor for RJ e-Nest Startups</t>
  </si>
  <si>
    <t xml:space="preserve">IoT/agritech focus</t>
  </si>
  <si>
    <t xml:space="preserve">rvrjcce.ac.in/rjenest; DPIIT/Startup India host-institute incubator list (s3waas.gov.in, 2023)</t>
  </si>
  <si>
    <t xml:space="preserve">Gmail address from government list</t>
  </si>
  <si>
    <t xml:space="preserve">College E-Cell</t>
  </si>
  <si>
    <t xml:space="preserve">SRKR Engineering College</t>
  </si>
  <si>
    <t xml:space="preserve">Entrepreneurship Development Cell</t>
  </si>
  <si>
    <t xml:space="preserve">Dr G Harish Kumar Varma (Head)</t>
  </si>
  <si>
    <t xml:space="preserve">edc@srkrec.ac.in</t>
  </si>
  <si>
    <t xml:space="preserve">External Mentor for SRKR Entrepreneurship Development Cell</t>
  </si>
  <si>
    <t xml:space="preserve">Student founders; idea validation</t>
  </si>
  <si>
    <t xml:space="preserve">srkrec.ac.in/entrepreneurship-cell</t>
  </si>
  <si>
    <t xml:space="preserve">Atal Incubation Centre</t>
  </si>
  <si>
    <t xml:space="preserve">Sri Krishnadevaraya University</t>
  </si>
  <si>
    <t xml:space="preserve">AIC-SKU</t>
  </si>
  <si>
    <t xml:space="preserve">Team</t>
  </si>
  <si>
    <t xml:space="preserve">info@aic-sku.com</t>
  </si>
  <si>
    <t xml:space="preserve">External Mentor for AIC-SKU Startups</t>
  </si>
  <si>
    <t xml:space="preserve">Agritech/deep-tech focus</t>
  </si>
  <si>
    <t xml:space="preserve">aic-sku.com</t>
  </si>
  <si>
    <t xml:space="preserve">Incubator general inbox</t>
  </si>
  <si>
    <t xml:space="preserve">Sri Padmavati Mahila Visvavidyalayam</t>
  </si>
  <si>
    <t xml:space="preserve">SSIIE-SPMVV</t>
  </si>
  <si>
    <t xml:space="preserve">ceo.spmvv@gmail.com</t>
  </si>
  <si>
    <t xml:space="preserve">External Mentor for SSIIE-SPMVV Women Founders</t>
  </si>
  <si>
    <t xml:space="preserve">Women founders</t>
  </si>
  <si>
    <t xml:space="preserve">spmvv.ac.in/incubators; DPIIT/Startup India host-institute incubator list (s3waas.gov.in, 2023)</t>
  </si>
  <si>
    <t xml:space="preserve">Siddharth Institute of Engineering &amp; Technology, Puttur</t>
  </si>
  <si>
    <t xml:space="preserve">Society for Siddharth International Incubation Centre</t>
  </si>
  <si>
    <t xml:space="preserve">satheesh.sietk@gmail.com</t>
  </si>
  <si>
    <t xml:space="preserve">External Mentor for Siddharth International Incubation Centre</t>
  </si>
  <si>
    <t xml:space="preserve">General</t>
  </si>
  <si>
    <t xml:space="preserve">Government incubator list</t>
  </si>
  <si>
    <t xml:space="preserve">Andhra University</t>
  </si>
  <si>
    <t xml:space="preserve">ā-hub (Andhra University Incubation Council)</t>
  </si>
  <si>
    <t xml:space="preserve">Team (CEO: Ravi Eswarapu)</t>
  </si>
  <si>
    <t xml:space="preserve">ceo.incubation@andhrauniversity.edu.in</t>
  </si>
  <si>
    <t xml:space="preserve">External Mentor for Andhra University ā-hub</t>
  </si>
  <si>
    <t xml:space="preserve">AI-led product; scaling</t>
  </si>
  <si>
    <t xml:space="preserve">Government incubator list; a-hub.co/team</t>
  </si>
  <si>
    <t xml:space="preserve">Gov list shows this email against a different host row; domain is Andhra University incubation CEO</t>
  </si>
  <si>
    <t xml:space="preserve">University IIC</t>
  </si>
  <si>
    <t xml:space="preserve">Mohan Babu University / Sree Vidyanikethan Engg College</t>
  </si>
  <si>
    <t xml:space="preserve">Institution Innovation Council (V-Hub ecosystem)</t>
  </si>
  <si>
    <t xml:space="preserve">Innovation Council (Dr N Padmaja, 2021-22 list)</t>
  </si>
  <si>
    <t xml:space="preserve">innovationcouncil@vidyanikethan.edu</t>
  </si>
  <si>
    <t xml:space="preserve">External Mentor for Sree Vidyanikethan Innovation Council</t>
  </si>
  <si>
    <t xml:space="preserve">V-Hub; student innovators</t>
  </si>
  <si>
    <t xml:space="preserve">svec.education IIC coordinators PDF (2021-22)</t>
  </si>
  <si>
    <t xml:space="preserve">Contact list dated 2021-22; may be stale</t>
  </si>
  <si>
    <t xml:space="preserve">College IIC</t>
  </si>
  <si>
    <t xml:space="preserve">Aditya Institute of Technology and Management (AITAM), Tekkali</t>
  </si>
  <si>
    <t xml:space="preserve">Institution Innovation Council / AICTE IDEA Lab</t>
  </si>
  <si>
    <t xml:space="preserve">Dr Sateesh Kumar Gudla (President)</t>
  </si>
  <si>
    <t xml:space="preserve">iic@adityatekkali.edu.in</t>
  </si>
  <si>
    <t xml:space="preserve">External Mentor for AITAM Institution's Innovation Council</t>
  </si>
  <si>
    <t xml:space="preserve">Idea validation; prototyping</t>
  </si>
  <si>
    <t xml:space="preserve">adityatekkali.edu.in/iic.php</t>
  </si>
  <si>
    <t xml:space="preserve">Engineering/University</t>
  </si>
  <si>
    <t xml:space="preserve">IIT Tirupati</t>
  </si>
  <si>
    <t xml:space="preserve">IIT Tirupati Navavishkar I-Hub Foundation (IITTNiF)</t>
  </si>
  <si>
    <t xml:space="preserve">Blocked: emails Cloudflare-hidden, not recoverable</t>
  </si>
  <si>
    <t xml:space="preserve">iittnif.com/contact</t>
  </si>
  <si>
    <t xml:space="preserve">Ratan Tata Innovation Hub (state network)</t>
  </si>
  <si>
    <t xml:space="preserve">RTIH Amaravati + spokes</t>
  </si>
  <si>
    <t xml:space="preserve">Blocked: contact page times out</t>
  </si>
  <si>
    <t xml:space="preserve">rtih.co.in/contact</t>
  </si>
  <si>
    <t xml:space="preserve">NIT Andhra Pradesh</t>
  </si>
  <si>
    <t xml:space="preserve">Incubation/IIC</t>
  </si>
  <si>
    <t xml:space="preserve">Blocked: no incubation email found</t>
  </si>
  <si>
    <t xml:space="preserve">nitandhra.ac.in</t>
  </si>
  <si>
    <t xml:space="preserve">IIIT Sri City</t>
  </si>
  <si>
    <t xml:space="preserve">Blocked: no incubation centre contact found</t>
  </si>
  <si>
    <t xml:space="preserve">iiits.ac.in</t>
  </si>
  <si>
    <t xml:space="preserve">IIITDM Kurnool</t>
  </si>
  <si>
    <t xml:space="preserve">Blocked: no incubation contact found</t>
  </si>
  <si>
    <t xml:space="preserve">iiitk.ac.in</t>
  </si>
  <si>
    <t xml:space="preserve">JNTU Kakinada</t>
  </si>
  <si>
    <t xml:space="preserve">Director Incubation Centre</t>
  </si>
  <si>
    <t xml:space="preserve">Blocked: page content not rendered (JS)</t>
  </si>
  <si>
    <t xml:space="preserve">jntuk.edu.in/director-incubation-center</t>
  </si>
  <si>
    <t xml:space="preserve">JNTU Anantapur</t>
  </si>
  <si>
    <t xml:space="preserve">Skill Development &amp; Incubation Centre</t>
  </si>
  <si>
    <t xml:space="preserve">Blocked: no email on page</t>
  </si>
  <si>
    <t xml:space="preserve">sdic.jntua.ac.in</t>
  </si>
  <si>
    <t xml:space="preserve">VIT-AP University</t>
  </si>
  <si>
    <t xml:space="preserve">VTBIF</t>
  </si>
  <si>
    <t xml:space="preserve">Blocked: only registrar/general email</t>
  </si>
  <si>
    <t xml:space="preserve">vitap.ac.in/vtbif</t>
  </si>
  <si>
    <t xml:space="preserve">Centurion University (AP)</t>
  </si>
  <si>
    <t xml:space="preserve">HEI TBI (Prof J Anil Kumar)</t>
  </si>
  <si>
    <t xml:space="preserve">Blocked: no email listed</t>
  </si>
  <si>
    <t xml:space="preserve">cutmap.ac.in/entrepreneurship</t>
  </si>
  <si>
    <t xml:space="preserve">GVP College of Engineering</t>
  </si>
  <si>
    <t xml:space="preserve">Blocked: no incubation email (only admin/HOD)</t>
  </si>
  <si>
    <t xml:space="preserve">gvpce.ac.in/contactus</t>
  </si>
  <si>
    <t xml:space="preserve">ANITS</t>
  </si>
  <si>
    <t xml:space="preserve">Innovation &amp; Incubation Centre</t>
  </si>
  <si>
    <t xml:space="preserve">anits.org</t>
  </si>
  <si>
    <t xml:space="preserve">GMR Institute of Technology</t>
  </si>
  <si>
    <t xml:space="preserve">Blocked: none found</t>
  </si>
  <si>
    <t xml:space="preserve">gmrit.org</t>
  </si>
  <si>
    <t xml:space="preserve">Lakireddy Bali Reddy College</t>
  </si>
  <si>
    <t xml:space="preserve">Blocked: no CIIE email (only principal/admissions)</t>
  </si>
  <si>
    <t xml:space="preserve">lbrce.ac.in contact</t>
  </si>
  <si>
    <t xml:space="preserve">SR Gudlavalleru Engineering College</t>
  </si>
  <si>
    <t xml:space="preserve">gecgudlavalleru.ac.in</t>
  </si>
  <si>
    <t xml:space="preserve">Narasaraopeta Engineering College</t>
  </si>
  <si>
    <t xml:space="preserve">Incubation Center</t>
  </si>
  <si>
    <t xml:space="preserve">Blocked: only info/admissions</t>
  </si>
  <si>
    <t xml:space="preserve">nrtec.in/incubation-center</t>
  </si>
  <si>
    <t xml:space="preserve">Raghu Engineering College</t>
  </si>
  <si>
    <t xml:space="preserve">raghuenggcollege.com</t>
  </si>
  <si>
    <t xml:space="preserve">Pragati Engineering College</t>
  </si>
  <si>
    <t xml:space="preserve">Blocked: only general email</t>
  </si>
  <si>
    <t xml:space="preserve">pragati.ac.in/contact</t>
  </si>
  <si>
    <t xml:space="preserve">Sasi Institute of Technology</t>
  </si>
  <si>
    <t xml:space="preserve">Center for Innovation &amp; Entrepreneurship</t>
  </si>
  <si>
    <t xml:space="preserve">Blocked: emails obfuscated, no CIE email</t>
  </si>
  <si>
    <t xml:space="preserve">sasi.ac.in/contact</t>
  </si>
  <si>
    <t xml:space="preserve">Godavari Global University (GIET)</t>
  </si>
  <si>
    <t xml:space="preserve">ggu.edu.in</t>
  </si>
  <si>
    <t xml:space="preserve">Vignan's Institute of Information Technology</t>
  </si>
  <si>
    <t xml:space="preserve">Blocked: page not rendered</t>
  </si>
  <si>
    <t xml:space="preserve">vignaniit.edu.in</t>
  </si>
  <si>
    <t xml:space="preserve">VVIT Guntur</t>
  </si>
  <si>
    <t xml:space="preserve">EDC / IIC</t>
  </si>
  <si>
    <t xml:space="preserve">Blocked: page 404</t>
  </si>
  <si>
    <t xml:space="preserve">vvitguntur.com</t>
  </si>
  <si>
    <t xml:space="preserve">Lendi Institute</t>
  </si>
  <si>
    <t xml:space="preserve">Blocked: site timeout</t>
  </si>
  <si>
    <t xml:space="preserve">lendi.edu.in</t>
  </si>
  <si>
    <t xml:space="preserve">Sri Venkateswara University</t>
  </si>
  <si>
    <t xml:space="preserve">svuniversity.edu.in</t>
  </si>
  <si>
    <t xml:space="preserve">Gyan Circle Ventures</t>
  </si>
  <si>
    <t xml:space="preserve">Gyan Circle Ventures Team</t>
  </si>
  <si>
    <t xml:space="preserve">gcv.manager@iiits.in</t>
  </si>
  <si>
    <t xml:space="preserve">External Mentor for Gyan Circle Ventures</t>
  </si>
  <si>
    <t xml:space="preserve">Category-based areas</t>
  </si>
  <si>
    <t xml:space="preserve">https://msh.meity.gov.in/tide/incubatorslist</t>
  </si>
  <si>
    <t xml:space="preserve">From your database (row ID 2); draft r-2734894804345110377</t>
  </si>
  <si>
    <t xml:space="preserve">State startup mission</t>
  </si>
  <si>
    <t xml:space="preserve">Andhra Pradesh Innovation Society</t>
  </si>
  <si>
    <t xml:space="preserve">AP Innovation &amp; Startup Mission</t>
  </si>
  <si>
    <t xml:space="preserve">AP Innovation Society Team</t>
  </si>
  <si>
    <t xml:space="preserve">innovationsociety@ap.gov.in</t>
  </si>
  <si>
    <t xml:space="preserve">Mentoring Support for AP Innovation Society Founders</t>
  </si>
  <si>
    <t xml:space="preserve">https://www.startupindia.gov.in/content/sih/en/state-startup-policies/Andhra-Pradesh-state-policy.html</t>
  </si>
  <si>
    <t xml:space="preserve">From your database (row ID 3); draft r-752743382805306433</t>
  </si>
  <si>
    <t xml:space="preserve">Arunachal Pradesh</t>
  </si>
  <si>
    <t xml:space="preserve">NERIST</t>
  </si>
  <si>
    <t xml:space="preserve">Incubation &amp; Entrepreneurship Cell (IEC)</t>
  </si>
  <si>
    <t xml:space="preserve">Prof. Ningrinla Marchang</t>
  </si>
  <si>
    <t xml:space="preserve">nm@nerist.ac.in</t>
  </si>
  <si>
    <t xml:space="preserve">External Mentor for NERIST Incubation &amp; Entrepreneurship Cell</t>
  </si>
  <si>
    <t xml:space="preserve">https://nerist.ac.in/facilities/sric/incubation-entrepreneurship/</t>
  </si>
  <si>
    <t xml:space="preserve">From your database (row ID 4); draft r6430179792157081429</t>
  </si>
  <si>
    <t xml:space="preserve">Arunachal Pradesh Innovation and Investment Park (APIIP)</t>
  </si>
  <si>
    <t xml:space="preserve">State Startup Mission</t>
  </si>
  <si>
    <t xml:space="preserve">APIIP Startup Team</t>
  </si>
  <si>
    <t xml:space="preserve">arunachal.startups@gmail.com</t>
  </si>
  <si>
    <t xml:space="preserve">Mentoring Support for Arunachal Pradesh Startups</t>
  </si>
  <si>
    <t xml:space="preserve">https://www.startupindia.gov.in/content/sih/en/state-startup-policies/Arunachal-Pradesh-state-policy.html</t>
  </si>
  <si>
    <t xml:space="preserve">From your database (row ID 5); draft r-6329490114728914084</t>
  </si>
  <si>
    <t xml:space="preserve">Accelerator / incubator</t>
  </si>
  <si>
    <t xml:space="preserve">Centre for Innovation Incubation and Entrepreneurship (CIIE)</t>
  </si>
  <si>
    <t xml:space="preserve">Dr. M. K. Hazarika</t>
  </si>
  <si>
    <t xml:space="preserve">headciie@tezu.ernet.in; cc mkhazarika@tezu.ernet.in</t>
  </si>
  <si>
    <t xml:space="preserve">External Mentor for Tezpur University CIIE</t>
  </si>
  <si>
    <t xml:space="preserve">https://www.tezu.ac.in/contact/edc.html</t>
  </si>
  <si>
    <t xml:space="preserve">From your database (row ID 6); draft r-480860853810637789</t>
  </si>
  <si>
    <t xml:space="preserve">Startup Assam</t>
  </si>
  <si>
    <t xml:space="preserve">The Nest / State Startup Mission</t>
  </si>
  <si>
    <t xml:space="preserve">Startup Assam Team</t>
  </si>
  <si>
    <t xml:space="preserve">startupassam2018@gmail.com</t>
  </si>
  <si>
    <t xml:space="preserve">Mentoring Support for Startup Assam Founders</t>
  </si>
  <si>
    <t xml:space="preserve">https://www.startupindia.gov.in/content/sih/en/state-startup-policies/Assam-state-policy.html</t>
  </si>
  <si>
    <t xml:space="preserve">From your database (row ID 8); draft r-8235122992575962860</t>
  </si>
  <si>
    <t xml:space="preserve">B-HUB</t>
  </si>
  <si>
    <t xml:space="preserve">CIMP Business Incubation &amp; Innovation Foundation Hub</t>
  </si>
  <si>
    <t xml:space="preserve">B-HUB Team</t>
  </si>
  <si>
    <t xml:space="preserve">enquiry@bhub.org.in</t>
  </si>
  <si>
    <t xml:space="preserve">External Mentor for B-HUB Founders</t>
  </si>
  <si>
    <t xml:space="preserve">https://www.bhub.org.in/contact-us/</t>
  </si>
  <si>
    <t xml:space="preserve">From your database (row ID 9); draft r-2744513446260774661</t>
  </si>
  <si>
    <t xml:space="preserve">NIT Patna</t>
  </si>
  <si>
    <t xml:space="preserve">Incubation Center NIT Patna</t>
  </si>
  <si>
    <t xml:space="preserve">Incubation Center Team</t>
  </si>
  <si>
    <t xml:space="preserve">Incubation@nitp.ac.in</t>
  </si>
  <si>
    <t xml:space="preserve">External Mentor for NIT Patna Incubation Center</t>
  </si>
  <si>
    <t xml:space="preserve">https://incubationcenter.nitp.ac.in/</t>
  </si>
  <si>
    <t xml:space="preserve">From your database (row ID 11); draft r-5611115406265837940</t>
  </si>
  <si>
    <t xml:space="preserve">Startup Bihar – Department of Industries</t>
  </si>
  <si>
    <t xml:space="preserve">Alok Ranjan Ghosh</t>
  </si>
  <si>
    <t xml:space="preserve">startup-bihar@gov.in</t>
  </si>
  <si>
    <t xml:space="preserve">Mentoring Support for Startup Bihar Founders</t>
  </si>
  <si>
    <t xml:space="preserve">https://startup.bihar.gov.in/</t>
  </si>
  <si>
    <t xml:space="preserve">From your database (row ID 12); draft r-1530244853485580227</t>
  </si>
  <si>
    <t xml:space="preserve">Chhattisgarh</t>
  </si>
  <si>
    <t xml:space="preserve">IIIT Naya Raipur</t>
  </si>
  <si>
    <t xml:space="preserve">Foundation for Technology &amp; Business Incubation / Entrepreneurship</t>
  </si>
  <si>
    <t xml:space="preserve">Dr. Amit Agarwal</t>
  </si>
  <si>
    <t xml:space="preserve">amitag@iiitnr.edu.in</t>
  </si>
  <si>
    <t xml:space="preserve">External Mentor for IIIT Naya Raipur Incubation</t>
  </si>
  <si>
    <t xml:space="preserve">https://www.invest.cg.gov.in/startup</t>
  </si>
  <si>
    <t xml:space="preserve">From your database (row ID 13); draft r-6902742176851432326</t>
  </si>
  <si>
    <t xml:space="preserve">IIT Bhilai</t>
  </si>
  <si>
    <t xml:space="preserve">IIT Bhilai Innovation &amp; Technology Foundation (IBITF)</t>
  </si>
  <si>
    <t xml:space="preserve">Prof. Souradyuti Paul</t>
  </si>
  <si>
    <t xml:space="preserve">tih@iitbhilai.ac.in</t>
  </si>
  <si>
    <t xml:space="preserve">External Mentor for IBITF, IIT Bhilai</t>
  </si>
  <si>
    <t xml:space="preserve">From your database (row ID 14); draft r3112279121536844401</t>
  </si>
  <si>
    <t xml:space="preserve">NIT Raipur</t>
  </si>
  <si>
    <t xml:space="preserve">NIT Raipur Foundation for Innovation &amp; Entrepreneurship (NITRRFIE)</t>
  </si>
  <si>
    <t xml:space="preserve">Medha Singh</t>
  </si>
  <si>
    <t xml:space="preserve">nitrrfie@nitrr.ac.in</t>
  </si>
  <si>
    <t xml:space="preserve">External Mentor for NITRRFIE Founders</t>
  </si>
  <si>
    <t xml:space="preserve">From your database (row ID 15); draft r5947775485838442775</t>
  </si>
  <si>
    <t xml:space="preserve">Startup Chhattisgarh – Directorate of Industries</t>
  </si>
  <si>
    <t xml:space="preserve">Suman Dewangan</t>
  </si>
  <si>
    <t xml:space="preserve">startup.cg@gov.in</t>
  </si>
  <si>
    <t xml:space="preserve">Mentoring Support for Startup Chhattisgarh Founders</t>
  </si>
  <si>
    <t xml:space="preserve">From your database (row ID 16); draft r-1070031041176377029</t>
  </si>
  <si>
    <t xml:space="preserve">Netaji Subhas University of Technology (NSUT)</t>
  </si>
  <si>
    <t xml:space="preserve">NSUT Incubation &amp; Innovation Foundation</t>
  </si>
  <si>
    <t xml:space="preserve">NSUT-IIF Team</t>
  </si>
  <si>
    <t xml:space="preserve">nsutiif@nsut.ac.in; cc connect.nsutiif@nsut.ac.in</t>
  </si>
  <si>
    <t xml:space="preserve">External Mentor for NSUT-IIF Founders</t>
  </si>
  <si>
    <t xml:space="preserve">https://nsutiif.in/contact</t>
  </si>
  <si>
    <t xml:space="preserve">From your database (row ID 19); draft r381820098365317669</t>
  </si>
  <si>
    <t xml:space="preserve">Goa</t>
  </si>
  <si>
    <t xml:space="preserve">B-School incubator</t>
  </si>
  <si>
    <t xml:space="preserve">Goa Institute of Management</t>
  </si>
  <si>
    <t xml:space="preserve">Atal Incubation Centre – GIM Foundation (AIC-GIM)</t>
  </si>
  <si>
    <t xml:space="preserve">AIC-GIM Team</t>
  </si>
  <si>
    <t xml:space="preserve">startups@aicgim.in</t>
  </si>
  <si>
    <t xml:space="preserve">External Mentor for AIC-GIM Founders</t>
  </si>
  <si>
    <t xml:space="preserve">https://aicgim.in/</t>
  </si>
  <si>
    <t xml:space="preserve">From your database (row ID 20); draft r6381309379850481176</t>
  </si>
  <si>
    <t xml:space="preserve">BITS Pilani – Goa Campus</t>
  </si>
  <si>
    <t xml:space="preserve">CIIE / BGIIES</t>
  </si>
  <si>
    <t xml:space="preserve">Prof. Saroj Sundar Baral</t>
  </si>
  <si>
    <t xml:space="preserve">ssbaral@goa.bits-pilani.ac.in</t>
  </si>
  <si>
    <t xml:space="preserve">External Mentor for BITS Goa CIIE</t>
  </si>
  <si>
    <t xml:space="preserve">https://www.bits-pilani.ac.in/goa/ciie/</t>
  </si>
  <si>
    <t xml:space="preserve">From your database (row ID 21); draft r-3332458601199315589</t>
  </si>
  <si>
    <t xml:space="preserve">Startup Goa – Department of Information Technology</t>
  </si>
  <si>
    <t xml:space="preserve">Startup Promotion Cell</t>
  </si>
  <si>
    <t xml:space="preserve">Startup Promotion Cell Team</t>
  </si>
  <si>
    <t xml:space="preserve">spc-dit.goa@gov.in</t>
  </si>
  <si>
    <t xml:space="preserve">Mentoring Support for Startup Goa Founders</t>
  </si>
  <si>
    <t xml:space="preserve">https://www.startupindia.gov.in/content/sih/en/state-startup-policies/Goa-state-policy.html</t>
  </si>
  <si>
    <t xml:space="preserve">From your database (row ID 22); draft r6613836979156264824</t>
  </si>
  <si>
    <t xml:space="preserve">i-Hub Gujarat</t>
  </si>
  <si>
    <t xml:space="preserve">Government of Gujarat Innovation Hub</t>
  </si>
  <si>
    <t xml:space="preserve">Hiranmay Mahanta</t>
  </si>
  <si>
    <t xml:space="preserve">ceo@ihubgujarat.in; cc partnership@ihubgujarat.in</t>
  </si>
  <si>
    <t xml:space="preserve">External Mentor for i-Hub Gujarat Founders</t>
  </si>
  <si>
    <t xml:space="preserve">https://ihubgujarat.in/our-team</t>
  </si>
  <si>
    <t xml:space="preserve">From your database (row ID 24); draft r-8324165116992490567</t>
  </si>
  <si>
    <t xml:space="preserve">Industries Commissionerate, Government of Gujarat</t>
  </si>
  <si>
    <t xml:space="preserve">Startup Gujarat Cell</t>
  </si>
  <si>
    <t xml:space="preserve">icstup@gujarat.gov.in; cc startupgujaratcell@gmail.com</t>
  </si>
  <si>
    <t xml:space="preserve">Mentoring Support for Startup Gujarat Founders</t>
  </si>
  <si>
    <t xml:space="preserve">https://www.startupindia.gov.in/content/sih/en/state-startup-policies/Gujarat-state-policy.html</t>
  </si>
  <si>
    <t xml:space="preserve">From your database (row ID 27); draft r4798690704026969239</t>
  </si>
  <si>
    <t xml:space="preserve">Ashoka University</t>
  </si>
  <si>
    <t xml:space="preserve">InfoEdge Centre for Entrepreneurship</t>
  </si>
  <si>
    <t xml:space="preserve">Priyank Narayan</t>
  </si>
  <si>
    <t xml:space="preserve">entrepreneurship@ashoka.edu.in</t>
  </si>
  <si>
    <t xml:space="preserve">External Mentor for Ashoka InfoEdge Centre for Entrepreneurship</t>
  </si>
  <si>
    <t xml:space="preserve">https://www.ashoka.edu.in/page/cfe/</t>
  </si>
  <si>
    <t xml:space="preserve">From your database (row ID 28); draft r-6623076550373992549</t>
  </si>
  <si>
    <t xml:space="preserve">Central University of Haryana</t>
  </si>
  <si>
    <t xml:space="preserve">Centre for Innovation &amp; Incubation</t>
  </si>
  <si>
    <t xml:space="preserve">ssunita@cuh.ac.in</t>
  </si>
  <si>
    <t xml:space="preserve">External Mentor for CUH Centre for Innovation &amp; Incubation</t>
  </si>
  <si>
    <t xml:space="preserve">https://www.cuh.ac.in/ciifcl.aspx</t>
  </si>
  <si>
    <t xml:space="preserve">From your database (row ID 29); draft r-3246292379027099295</t>
  </si>
  <si>
    <t xml:space="preserve">IIM Rohtak</t>
  </si>
  <si>
    <t xml:space="preserve">Entrepreneurship Cell / Bizdome</t>
  </si>
  <si>
    <t xml:space="preserve">Entrepreneurship Cell Team</t>
  </si>
  <si>
    <t xml:space="preserve">ecell@iimrohtak.ac.in</t>
  </si>
  <si>
    <t xml:space="preserve">External Mentor for IIM Rohtak Bizdome</t>
  </si>
  <si>
    <t xml:space="preserve">https://iimrohtak.ac.in/students-clubs-and-committees.php</t>
  </si>
  <si>
    <t xml:space="preserve">From your database (row ID 30); draft r8283640493619773761</t>
  </si>
  <si>
    <t xml:space="preserve">Startup Haryana – Industries &amp; Commerce Department</t>
  </si>
  <si>
    <t xml:space="preserve">Startup Haryana Cell</t>
  </si>
  <si>
    <t xml:space="preserve">Rahul Bamel</t>
  </si>
  <si>
    <t xml:space="preserve">startupharyanacell@gmail.com</t>
  </si>
  <si>
    <t xml:space="preserve">Mentoring Support for Startup Haryana Founders</t>
  </si>
  <si>
    <t xml:space="preserve">https://startupharyana.gov.in/front/whos-n-who</t>
  </si>
  <si>
    <t xml:space="preserve">From your database (row ID 31); draft r8583689669365392387</t>
  </si>
  <si>
    <t xml:space="preserve">Himachal Pradesh</t>
  </si>
  <si>
    <t xml:space="preserve">IIT Mandi Catalyst</t>
  </si>
  <si>
    <t xml:space="preserve">Anil Singh</t>
  </si>
  <si>
    <t xml:space="preserve">gm@iitmandicatalyst.in</t>
  </si>
  <si>
    <t xml:space="preserve">External Mentor for IIT Mandi Catalyst</t>
  </si>
  <si>
    <t xml:space="preserve">https://iitmandi.ac.in/directory</t>
  </si>
  <si>
    <t xml:space="preserve">From your database (row ID 32); draft r5030993057058239100</t>
  </si>
  <si>
    <t xml:space="preserve">Startup Himachal – Department of Industries</t>
  </si>
  <si>
    <t xml:space="preserve">Startup Himachal Cell</t>
  </si>
  <si>
    <t xml:space="preserve">Startup Himachal Cell Team</t>
  </si>
  <si>
    <t xml:space="preserve">startuphimachal@gmail.com</t>
  </si>
  <si>
    <t xml:space="preserve">Mentoring Support for Startup Himachal Founders</t>
  </si>
  <si>
    <t xml:space="preserve">https://www.startupindia.gov.in/content/sih/en/state-startup-policies/Himachal-Pradesh-state-policy.html</t>
  </si>
  <si>
    <t xml:space="preserve">From your database (row ID 33); draft r-8079887584944947677</t>
  </si>
  <si>
    <t xml:space="preserve">Jammu &amp; Kashmir</t>
  </si>
  <si>
    <t xml:space="preserve">University of Kashmir</t>
  </si>
  <si>
    <t xml:space="preserve">Centre for Innovation, Incubation &amp; Entrepreneurship (CIIE)</t>
  </si>
  <si>
    <t xml:space="preserve">Dr. Bilal Ahmad Malik</t>
  </si>
  <si>
    <t xml:space="preserve">bilalmalik@kashmiruniversity.ac.in; cc ciie@uok.edu.in</t>
  </si>
  <si>
    <t xml:space="preserve">External Mentor for University of Kashmir CIIE</t>
  </si>
  <si>
    <t xml:space="preserve">https://ciie.uok.edu.in/Main/ContactUs.aspx</t>
  </si>
  <si>
    <t xml:space="preserve">From your database (row ID 35); draft r6766372448727885182</t>
  </si>
  <si>
    <t xml:space="preserve">Foundation for Entrepreneurship Innovation &amp; Skill Development / CIED</t>
  </si>
  <si>
    <t xml:space="preserve">Kannav Padha</t>
  </si>
  <si>
    <t xml:space="preserve">manager.itbi@iimj.ac.in</t>
  </si>
  <si>
    <t xml:space="preserve">External Mentor for IIM Jammu Incubation</t>
  </si>
  <si>
    <t xml:space="preserve">https://www.iimj.ac.in/directory.php</t>
  </si>
  <si>
    <t xml:space="preserve">From your database (row ID 36); draft r-3162127585011144752</t>
  </si>
  <si>
    <t xml:space="preserve">Islamic University of Science &amp; Technology (IUST)</t>
  </si>
  <si>
    <t xml:space="preserve">Centre for Innovation &amp; Entrepreneurship Development (CIED)</t>
  </si>
  <si>
    <t xml:space="preserve">CIED IUST Team</t>
  </si>
  <si>
    <t xml:space="preserve">cied@iust.ac.in</t>
  </si>
  <si>
    <t xml:space="preserve">External Mentor for IUST CIED</t>
  </si>
  <si>
    <t xml:space="preserve">https://www.ciediust.in/</t>
  </si>
  <si>
    <t xml:space="preserve">From your database (row ID 37); draft r1108412736112574060</t>
  </si>
  <si>
    <t xml:space="preserve">NIT Srinagar</t>
  </si>
  <si>
    <t xml:space="preserve">Innovation, Incubation &amp; Entrepreneurship Development Centre (IIEDC)</t>
  </si>
  <si>
    <t xml:space="preserve">Prof. Babar Ahmad</t>
  </si>
  <si>
    <t xml:space="preserve">babar@nitsri.ac.in; cc iiedc@nitsri.ac.in</t>
  </si>
  <si>
    <t xml:space="preserve">External Mentor for NIT Srinagar IIEDC</t>
  </si>
  <si>
    <t xml:space="preserve">https://nitsri.ac.in/Pages/CentreList.aspx</t>
  </si>
  <si>
    <t xml:space="preserve">From your database (row ID 38); draft r-3398098809581873423</t>
  </si>
  <si>
    <t xml:space="preserve">Jammu &amp; Kashmir Entrepreneurship Development Institute (JKEDI)</t>
  </si>
  <si>
    <t xml:space="preserve">J&amp;K Startup Mission</t>
  </si>
  <si>
    <t xml:space="preserve">JKEDI Startup / Incubation Team</t>
  </si>
  <si>
    <t xml:space="preserve">jkediciibm@gmail.com</t>
  </si>
  <si>
    <t xml:space="preserve">Mentoring Support for JKEDI Founders</t>
  </si>
  <si>
    <t xml:space="preserve">https://www.startupindia.gov.in/content/sih/en/state-startup-policies/Jammu-and-Kashmir-state-policy.html</t>
  </si>
  <si>
    <t xml:space="preserve">From your database (row ID 39); draft r-3753288188068966488</t>
  </si>
  <si>
    <t xml:space="preserve">CIIE IIT (ISM) Team</t>
  </si>
  <si>
    <t xml:space="preserve">ciie@iitism.ac.in</t>
  </si>
  <si>
    <t xml:space="preserve">External Mentor for IIT (ISM) Dhanbad CIIE</t>
  </si>
  <si>
    <t xml:space="preserve">https://ciie.iitism.ac.in/incubation.php</t>
  </si>
  <si>
    <t xml:space="preserve">From your database (row ID 41); draft r-5722418198324134625</t>
  </si>
  <si>
    <t xml:space="preserve">Startup Jharkhand – Department of IT &amp; e-Governance</t>
  </si>
  <si>
    <t xml:space="preserve">Startup Jharkhand Team</t>
  </si>
  <si>
    <t xml:space="preserve">it-secretary@jharkhand.gov.in</t>
  </si>
  <si>
    <t xml:space="preserve">Mentoring Support for Startup Jharkhand Founders</t>
  </si>
  <si>
    <t xml:space="preserve">https://www.startupindia.gov.in/content/sih/en/state-startup-policies/Jharkhand-state-policy.html</t>
  </si>
  <si>
    <t xml:space="preserve">From your database (row ID 42); draft r4110193838314203141</t>
  </si>
  <si>
    <t xml:space="preserve">C-CAMP</t>
  </si>
  <si>
    <t xml:space="preserve">Centre for Cellular and Molecular Platforms</t>
  </si>
  <si>
    <t xml:space="preserve">Dr. Taslimarif Saiyed</t>
  </si>
  <si>
    <t xml:space="preserve">taslim@ccamp.res.in; cc ccamp@ccamp.res.in</t>
  </si>
  <si>
    <t xml:space="preserve">External Mentor for C-CAMP Founders</t>
  </si>
  <si>
    <t xml:space="preserve">https://www.indiascienceandtechnology.gov.in/hi/node/124855</t>
  </si>
  <si>
    <t xml:space="preserve">From your database (row ID 43); draft r-4421384320711398344</t>
  </si>
  <si>
    <t xml:space="preserve">CHRIST (Deemed to be University)</t>
  </si>
  <si>
    <t xml:space="preserve">Incubation and Entrepreneurship Support Cell (C-IESC)</t>
  </si>
  <si>
    <t xml:space="preserve">C-IESC Team</t>
  </si>
  <si>
    <t xml:space="preserve">incubation.cell@christuniversity.in</t>
  </si>
  <si>
    <t xml:space="preserve">External Mentor for CHRIST C-IESC</t>
  </si>
  <si>
    <t xml:space="preserve">https://christuniversity.in/center/C/C-IESC/apply-online</t>
  </si>
  <si>
    <t xml:space="preserve">From your database (row ID 44); draft r-6462825864148501359</t>
  </si>
  <si>
    <t xml:space="preserve">Dayananda Sagar Institutions</t>
  </si>
  <si>
    <t xml:space="preserve">DERBI Foundation</t>
  </si>
  <si>
    <t xml:space="preserve">DERBI Foundation Team</t>
  </si>
  <si>
    <t xml:space="preserve">adminmanager@derbifoundation.com</t>
  </si>
  <si>
    <t xml:space="preserve">External Mentor for DERBI Foundation Founders</t>
  </si>
  <si>
    <t xml:space="preserve">From your database (row ID 45); draft r3150577855429868462</t>
  </si>
  <si>
    <t xml:space="preserve">Indian Institute of Science (IISc)</t>
  </si>
  <si>
    <t xml:space="preserve">Society for Innovation and Development (SID / FSID)</t>
  </si>
  <si>
    <t xml:space="preserve">SID / FSID Team</t>
  </si>
  <si>
    <t xml:space="preserve">office@sid.iisc.ernet.in</t>
  </si>
  <si>
    <t xml:space="preserve">External Mentor for SID IISc Founders</t>
  </si>
  <si>
    <t xml:space="preserve">https://www.indiascienceandtechnology.gov.in/technologyincubators/society-innovation-development-sid</t>
  </si>
  <si>
    <t xml:space="preserve">From your database (row ID 46); draft r4193854622743374671</t>
  </si>
  <si>
    <t xml:space="preserve">Karnataka Startup Cell – Department of Electronics, IT, BT &amp; S&amp;T</t>
  </si>
  <si>
    <t xml:space="preserve">Karnataka Startup Cell</t>
  </si>
  <si>
    <t xml:space="preserve">startupcell@karnataka.gov.in</t>
  </si>
  <si>
    <t xml:space="preserve">Mentoring Support for Karnataka Startup Founders</t>
  </si>
  <si>
    <t xml:space="preserve">https://www.startupindia.gov.in/content/sih/en/state-startup-policies/Karnataka-state-policy.html</t>
  </si>
  <si>
    <t xml:space="preserve">From your database (row ID 52); draft r-2493759278383146770</t>
  </si>
  <si>
    <t xml:space="preserve">IIITM-K / Kerala Digital University ecosystem</t>
  </si>
  <si>
    <t xml:space="preserve">Maker Village</t>
  </si>
  <si>
    <t xml:space="preserve">Maker Village Team</t>
  </si>
  <si>
    <t xml:space="preserve">makervillage@iiitmk.ac.in</t>
  </si>
  <si>
    <t xml:space="preserve">External Mentor for Maker Village Founders</t>
  </si>
  <si>
    <t xml:space="preserve">https://makervillage.in/contactus.php</t>
  </si>
  <si>
    <t xml:space="preserve">From your database (row ID 56); draft r-1986517225620870163</t>
  </si>
  <si>
    <t xml:space="preserve">Madhya Pradesh</t>
  </si>
  <si>
    <t xml:space="preserve">Rabindranath Tagore University</t>
  </si>
  <si>
    <t xml:space="preserve">Atal Incubation Centre – RNTU (AIC-RNTU)</t>
  </si>
  <si>
    <t xml:space="preserve">AIC-RNTU Team</t>
  </si>
  <si>
    <t xml:space="preserve">aic@rntu.ac.in</t>
  </si>
  <si>
    <t xml:space="preserve">External Mentor for AIC-RNTU Founders</t>
  </si>
  <si>
    <t xml:space="preserve">https://www.aicrntu.com/career</t>
  </si>
  <si>
    <t xml:space="preserve">From your database (row ID 59); draft r-4622375029791754974</t>
  </si>
  <si>
    <t xml:space="preserve">IIM Indore</t>
  </si>
  <si>
    <t xml:space="preserve">Startups &amp; Small Business Facilitation</t>
  </si>
  <si>
    <t xml:space="preserve">Industry Interface Office</t>
  </si>
  <si>
    <t xml:space="preserve">IndustryInterface@iimidr.ac.in</t>
  </si>
  <si>
    <t xml:space="preserve">External Mentor for IIM Indore Startups</t>
  </si>
  <si>
    <t xml:space="preserve">https://iimidr.ac.in/about/industry-interface-office/startups-small-business-facilitation/</t>
  </si>
  <si>
    <t xml:space="preserve">From your database (row ID 60); draft r-4082049571841706062</t>
  </si>
  <si>
    <t xml:space="preserve">MP Startup Centre – Department of MSME</t>
  </si>
  <si>
    <t xml:space="preserve">MP Startup Centre Team</t>
  </si>
  <si>
    <t xml:space="preserve">startup-centre@mp.gov.in</t>
  </si>
  <si>
    <t xml:space="preserve">Mentoring Support for MP Startup Centre Founders</t>
  </si>
  <si>
    <t xml:space="preserve">https://www.startupindia.gov.in/content/sih/en/state-startup-policies/Madhya-Pradesh-state-policy.html</t>
  </si>
  <si>
    <t xml:space="preserve">From your database (row ID 61); draft r-1787879660814244928</t>
  </si>
  <si>
    <t xml:space="preserve">Sandip University</t>
  </si>
  <si>
    <t xml:space="preserve">Sandip Technology Business Incubator</t>
  </si>
  <si>
    <t xml:space="preserve">Sandip TBI Team</t>
  </si>
  <si>
    <t xml:space="preserve">manager@sandipincubator.org</t>
  </si>
  <si>
    <t xml:space="preserve">External Mentor for Sandip TBI Founders</t>
  </si>
  <si>
    <t xml:space="preserve">From your database (row ID 62); draft r-6453418147587408798</t>
  </si>
  <si>
    <t xml:space="preserve">Venture Center</t>
  </si>
  <si>
    <t xml:space="preserve">NCL Innovation Park Incubator</t>
  </si>
  <si>
    <t xml:space="preserve">Soma Chattopadhyay</t>
  </si>
  <si>
    <t xml:space="preserve">managerincubator@venturecenter.co.in</t>
  </si>
  <si>
    <t xml:space="preserve">External Mentor for Venture Center Founders</t>
  </si>
  <si>
    <t xml:space="preserve">https://nidhicoe.venturecenter.co.in/contact/</t>
  </si>
  <si>
    <t xml:space="preserve">From your database (row ID 63); draft r5420105801646947565; 26 Sep auto reply: Soma Chattopadhyay (Head, Incubation &amp; Mentoring) out of office till 28 Sep. Alternates: gayathry.s@venturecenter.co.in (incubation), manish.gore@venturecenter.co.in (accelerator)</t>
  </si>
  <si>
    <t xml:space="preserve">Out of office till 28 Sep; alternates gayathry.s@ and manish.gore@venturecenter.co.in</t>
  </si>
  <si>
    <t xml:space="preserve">InFED – IIM Nagpur Foundation for Entrepreneurship Development</t>
  </si>
  <si>
    <t xml:space="preserve">InFED Team</t>
  </si>
  <si>
    <t xml:space="preserve">infed@iimnagpur.ac.in</t>
  </si>
  <si>
    <t xml:space="preserve">External Mentor for InFED Founders</t>
  </si>
  <si>
    <t xml:space="preserve">https://www.infed.in/</t>
  </si>
  <si>
    <t xml:space="preserve">From your database (row ID 64); draft r-350102838722834953</t>
  </si>
  <si>
    <t xml:space="preserve">Society for Innovation and Entrepreneurship (SINE)</t>
  </si>
  <si>
    <t xml:space="preserve">SINE Team</t>
  </si>
  <si>
    <t xml:space="preserve">sine@sineiitb.org</t>
  </si>
  <si>
    <t xml:space="preserve">External Mentor for SINE IIT Bombay</t>
  </si>
  <si>
    <t xml:space="preserve">https://sineiitb.org/contact</t>
  </si>
  <si>
    <t xml:space="preserve">From your database (row ID 66); draft r7747906441371398514</t>
  </si>
  <si>
    <t xml:space="preserve">Savitribai Phule Pune University</t>
  </si>
  <si>
    <t xml:space="preserve">Science and Technology Park</t>
  </si>
  <si>
    <t xml:space="preserve">Science &amp; Technology Park Team</t>
  </si>
  <si>
    <t xml:space="preserve">stp@scitechpark.org.in</t>
  </si>
  <si>
    <t xml:space="preserve">External Mentor for SciTech Park Founders</t>
  </si>
  <si>
    <t xml:space="preserve">https://scitechpark.org.in/contact-us/</t>
  </si>
  <si>
    <t xml:space="preserve">From your database (row ID 67); draft r-6720721952166761360</t>
  </si>
  <si>
    <t xml:space="preserve">Maharashtra State Innovation Society (MSInS)</t>
  </si>
  <si>
    <t xml:space="preserve">State Startup / Innovation Mission</t>
  </si>
  <si>
    <t xml:space="preserve">Dr. Shrikant Patil</t>
  </si>
  <si>
    <t xml:space="preserve">team@msins.in</t>
  </si>
  <si>
    <t xml:space="preserve">Mentoring Support for MSInS Founders</t>
  </si>
  <si>
    <t xml:space="preserve">https://msins.in/Aboutus</t>
  </si>
  <si>
    <t xml:space="preserve">From your database (row ID 68); draft r1270301643930404312</t>
  </si>
  <si>
    <t xml:space="preserve">Manipur</t>
  </si>
  <si>
    <t xml:space="preserve">Startup Manipur – Planning Department</t>
  </si>
  <si>
    <t xml:space="preserve">Startup Manipur Team</t>
  </si>
  <si>
    <t xml:space="preserve">contact@startupmanipur.in</t>
  </si>
  <si>
    <t xml:space="preserve">Mentoring Support for Startup Manipur Founders</t>
  </si>
  <si>
    <t xml:space="preserve">https://startupmanipur.in/contact/</t>
  </si>
  <si>
    <t xml:space="preserve">From your database (row ID 70); draft r2621839248136243559</t>
  </si>
  <si>
    <t xml:space="preserve">Meghalaya</t>
  </si>
  <si>
    <t xml:space="preserve">IIM Shillong</t>
  </si>
  <si>
    <t xml:space="preserve">Incubation &amp; Enterprise Support Centre / IIM Shillong Foundation for Incubation and Entrepreneurship</t>
  </si>
  <si>
    <t xml:space="preserve">Chair – Incubation</t>
  </si>
  <si>
    <t xml:space="preserve">chair.incubation@iimshillong.ac.in; cc incubation@iimshillong.ac.in</t>
  </si>
  <si>
    <t xml:space="preserve">External Mentor for IIM Shillong Incubation</t>
  </si>
  <si>
    <t xml:space="preserve">https://www.iimshillong.ac.in/contact/</t>
  </si>
  <si>
    <t xml:space="preserve">From your database (row ID 71); draft r7719807366690041041</t>
  </si>
  <si>
    <t xml:space="preserve">PRIME Meghalaya</t>
  </si>
  <si>
    <t xml:space="preserve">State Entrepreneurship / Startup Mission</t>
  </si>
  <si>
    <t xml:space="preserve">PRIME Meghalaya Team</t>
  </si>
  <si>
    <t xml:space="preserve">info@primemeghalaya.com</t>
  </si>
  <si>
    <t xml:space="preserve">Mentoring Support for PRIME Meghalaya Founders</t>
  </si>
  <si>
    <t xml:space="preserve">https://primemeghalaya.com/admin-governance</t>
  </si>
  <si>
    <t xml:space="preserve">From your database (row ID 72); draft r-5626531475690864507</t>
  </si>
  <si>
    <t xml:space="preserve">Mizoram</t>
  </si>
  <si>
    <t xml:space="preserve">Mizoram University</t>
  </si>
  <si>
    <t xml:space="preserve">BioNEST Incubator</t>
  </si>
  <si>
    <t xml:space="preserve">Dr. H. Lalhruaitluanga</t>
  </si>
  <si>
    <t xml:space="preserve">mahruaia123@gmail.com</t>
  </si>
  <si>
    <t xml:space="preserve">External Mentor for Mizoram University BioNEST</t>
  </si>
  <si>
    <t xml:space="preserve">https://mzu.edu.in/bionest-incubator/</t>
  </si>
  <si>
    <t xml:space="preserve">From your database (row ID 73); draft r6615270054414958819</t>
  </si>
  <si>
    <t xml:space="preserve">Entrepreneurship Development Centre, Government of Mizoram</t>
  </si>
  <si>
    <t xml:space="preserve">EDC Mizoram Team</t>
  </si>
  <si>
    <t xml:space="preserve">edcmizoram@gmail.com</t>
  </si>
  <si>
    <t xml:space="preserve">Mentoring Support for Mizoram Startups</t>
  </si>
  <si>
    <t xml:space="preserve">https://www.startupindia.gov.in/content/sih/en/state-startup-policies/Mizoram-state-policy.html</t>
  </si>
  <si>
    <t xml:space="preserve">From your database (row ID 74); draft r-1503525367451214887</t>
  </si>
  <si>
    <t xml:space="preserve">Nagaland</t>
  </si>
  <si>
    <t xml:space="preserve">Startup Nagaland – Directorate of Industries &amp; Commerce</t>
  </si>
  <si>
    <t xml:space="preserve">Keneirienuo K. Theunuo</t>
  </si>
  <si>
    <t xml:space="preserve">start.nagaland@gmail.com</t>
  </si>
  <si>
    <t xml:space="preserve">Mentoring Support for Startup Nagaland Founders</t>
  </si>
  <si>
    <t xml:space="preserve">https://www.startupnagaland.in/User-Contacts</t>
  </si>
  <si>
    <t xml:space="preserve">From your database (row ID 76); draft r8015999716776830486</t>
  </si>
  <si>
    <t xml:space="preserve">IIM Sambalpur</t>
  </si>
  <si>
    <t xml:space="preserve">Innovation &amp; Incubation Council / Entrepreneurship ecosystem</t>
  </si>
  <si>
    <t xml:space="preserve">IIC / Entrepreneurship Team</t>
  </si>
  <si>
    <t xml:space="preserve">iic.hrclub@iimsambalpur.ac.in</t>
  </si>
  <si>
    <t xml:space="preserve">External Mentor for IIM Sambalpur Startups</t>
  </si>
  <si>
    <t xml:space="preserve">https://iimsambalpur.ac.in/student-committees/</t>
  </si>
  <si>
    <t xml:space="preserve">From your database (row ID 77); draft r2689387830001832740</t>
  </si>
  <si>
    <t xml:space="preserve">Research &amp; Entrepreneurship Park (REP)</t>
  </si>
  <si>
    <t xml:space="preserve">REP Team</t>
  </si>
  <si>
    <t xml:space="preserve">office.rep@iitbbs.ac.in</t>
  </si>
  <si>
    <t xml:space="preserve">External Mentor for IIT Bhubaneswar REP</t>
  </si>
  <si>
    <t xml:space="preserve">https://rep.iitbbs.ac.in/contact/</t>
  </si>
  <si>
    <t xml:space="preserve">From your database (row ID 78); draft r1252661023038008819</t>
  </si>
  <si>
    <t xml:space="preserve">Startup Odisha</t>
  </si>
  <si>
    <t xml:space="preserve">O-Hub / State Startup Mission</t>
  </si>
  <si>
    <t xml:space="preserve">Rasmita Panda, IAS</t>
  </si>
  <si>
    <t xml:space="preserve">startup.odisha@gov.in</t>
  </si>
  <si>
    <t xml:space="preserve">Mentoring Support for Startup Odisha Founders</t>
  </si>
  <si>
    <t xml:space="preserve">https://ohub.odisha.gov.in/</t>
  </si>
  <si>
    <t xml:space="preserve">From your database (row ID 81); draft r-8066279039731138843</t>
  </si>
  <si>
    <t xml:space="preserve">Puducherry</t>
  </si>
  <si>
    <t xml:space="preserve">AIC-PEC Foundation</t>
  </si>
  <si>
    <t xml:space="preserve">Atal Incubation Centre – PEC Foundation</t>
  </si>
  <si>
    <t xml:space="preserve">V. Vishnu Varadan</t>
  </si>
  <si>
    <t xml:space="preserve">ceo@aicpecf.org</t>
  </si>
  <si>
    <t xml:space="preserve">External Mentor for AIC-PEC Founders</t>
  </si>
  <si>
    <t xml:space="preserve">https://www.aicpecf.org/</t>
  </si>
  <si>
    <t xml:space="preserve">From your database (row ID 82); draft r-5226793620059045058</t>
  </si>
  <si>
    <t xml:space="preserve">Pondicherry University</t>
  </si>
  <si>
    <t xml:space="preserve">ASPIRE – Livelihood Business Incubator (LBI)</t>
  </si>
  <si>
    <t xml:space="preserve">Dr. P. G. Arul</t>
  </si>
  <si>
    <t xml:space="preserve">pgarul.ibm@pondiuni.edu.in</t>
  </si>
  <si>
    <t xml:space="preserve">External Mentor for Pondicherry University ASPIRE</t>
  </si>
  <si>
    <t xml:space="preserve">https://www.pondiuni.edu.in/department/pondicherry-university-aspire-livelihood-business-incubator-lbi/</t>
  </si>
  <si>
    <t xml:space="preserve">From your database (row ID 83); draft r725183926851741862</t>
  </si>
  <si>
    <t xml:space="preserve">Thapar Institute of Engineering &amp; Technology</t>
  </si>
  <si>
    <t xml:space="preserve">Entrepreneurship Development Cell (EDC)</t>
  </si>
  <si>
    <t xml:space="preserve">Dr. M.D. Singh</t>
  </si>
  <si>
    <t xml:space="preserve">edc@thapar.edu; cc mdsingh@thapar.edu</t>
  </si>
  <si>
    <t xml:space="preserve">External Mentor for Thapar EDC</t>
  </si>
  <si>
    <t xml:space="preserve">https://www.thapar.edu/students/pages/edc</t>
  </si>
  <si>
    <t xml:space="preserve">From your database (row ID 87); draft r1023037141311590328</t>
  </si>
  <si>
    <t xml:space="preserve">Startup Punjab – Department of Industries &amp; Commerce</t>
  </si>
  <si>
    <t xml:space="preserve">Startup Punjab Team</t>
  </si>
  <si>
    <t xml:space="preserve">startup-pb@punjabinfotech.in</t>
  </si>
  <si>
    <t xml:space="preserve">Mentoring Support for Startup Punjab Founders</t>
  </si>
  <si>
    <t xml:space="preserve">https://www.startupindia.gov.in/content/sih/en/state-startup-policies/Punjab-state-policy.html</t>
  </si>
  <si>
    <t xml:space="preserve">From your database (row ID 88); draft r-8623806807807275732</t>
  </si>
  <si>
    <t xml:space="preserve">University of Rajasthan</t>
  </si>
  <si>
    <t xml:space="preserve">Entrepreneurship &amp; Career Hub (ECH)</t>
  </si>
  <si>
    <t xml:space="preserve">ECH Team</t>
  </si>
  <si>
    <t xml:space="preserve">ech.uor@gmail.com</t>
  </si>
  <si>
    <t xml:space="preserve">External Mentor for University of Rajasthan ECH</t>
  </si>
  <si>
    <t xml:space="preserve">https://www.uniraj.ac.in/ech/</t>
  </si>
  <si>
    <t xml:space="preserve">From your database (row ID 89); draft r2102535405322814148</t>
  </si>
  <si>
    <t xml:space="preserve">Technology Innovation &amp; Startup Centre (TISC)</t>
  </si>
  <si>
    <t xml:space="preserve">TISC Team</t>
  </si>
  <si>
    <t xml:space="preserve">ceo@tisc.iitj.ac.in</t>
  </si>
  <si>
    <t xml:space="preserve">External Mentor for TISC IIT Jodhpur</t>
  </si>
  <si>
    <t xml:space="preserve">https://www.iitj.ac.in/tisc/en/contact</t>
  </si>
  <si>
    <t xml:space="preserve">From your database (row ID 91); draft r-7163461207503020555</t>
  </si>
  <si>
    <t xml:space="preserve">iStart Rajasthan – DoIT&amp;C</t>
  </si>
  <si>
    <t xml:space="preserve">Tapan Kumar</t>
  </si>
  <si>
    <t xml:space="preserve">startups.doit@rajasthan.gov.in</t>
  </si>
  <si>
    <t xml:space="preserve">Mentoring Support for iStart Rajasthan Founders</t>
  </si>
  <si>
    <t xml:space="preserve">https://istart.rajasthan.gov.in/pages/contact</t>
  </si>
  <si>
    <t xml:space="preserve">From your database (row ID 93); draft r-4103665173250232767</t>
  </si>
  <si>
    <t xml:space="preserve">Commerce &amp; Industries Department, Government of Sikkim</t>
  </si>
  <si>
    <t xml:space="preserve">Chief Minister's Startup Scheme</t>
  </si>
  <si>
    <t xml:space="preserve">Sikkim Startup Team</t>
  </si>
  <si>
    <t xml:space="preserve">sikkimindustries@gmail.com</t>
  </si>
  <si>
    <t xml:space="preserve">Mentoring Support for Sikkim Startups</t>
  </si>
  <si>
    <t xml:space="preserve">https://www.startupindia.gov.in/content/sih/en/state-startup-policies/Sikkim-state-policy.html</t>
  </si>
  <si>
    <t xml:space="preserve">From your database (row ID 95); draft r1669255362897632459</t>
  </si>
  <si>
    <t xml:space="preserve">Forge Innovation &amp; Ventures</t>
  </si>
  <si>
    <t xml:space="preserve">Forge Accelerator / Industrial Innovation</t>
  </si>
  <si>
    <t xml:space="preserve">Forge Team</t>
  </si>
  <si>
    <t xml:space="preserve">info@forge-iv.co</t>
  </si>
  <si>
    <t xml:space="preserve">External Mentor for Forge Founders</t>
  </si>
  <si>
    <t xml:space="preserve">https://www.forge-iv.co/contact-us/</t>
  </si>
  <si>
    <t xml:space="preserve">From your database (row ID 97); draft r-1859216412484665472</t>
  </si>
  <si>
    <t xml:space="preserve">Villgro</t>
  </si>
  <si>
    <t xml:space="preserve">Social Enterprise Incubator</t>
  </si>
  <si>
    <t xml:space="preserve">Villgro Team</t>
  </si>
  <si>
    <t xml:space="preserve">info@villgro.org</t>
  </si>
  <si>
    <t xml:space="preserve">External Mentor for Villgro Founders</t>
  </si>
  <si>
    <t xml:space="preserve">https://villgro.org/contact-us/</t>
  </si>
  <si>
    <t xml:space="preserve">From your database (row ID 98); draft r790302991888993431</t>
  </si>
  <si>
    <t xml:space="preserve">IIM Tiruchirappalli</t>
  </si>
  <si>
    <t xml:space="preserve">Strategy &amp; Entrepreneurship</t>
  </si>
  <si>
    <t xml:space="preserve">Chair, Strategy and Entrepreneurship</t>
  </si>
  <si>
    <t xml:space="preserve">strategychair@iimtrichy.ac.in</t>
  </si>
  <si>
    <t xml:space="preserve">External Mentor for IIM Trichy Entrepreneurship</t>
  </si>
  <si>
    <t xml:space="preserve">https://www.iimtrichy.ac.in/en/contact-us</t>
  </si>
  <si>
    <t xml:space="preserve">From your database (row ID 99); draft r-7152272738000267783</t>
  </si>
  <si>
    <t xml:space="preserve">SASTRA Deemed University</t>
  </si>
  <si>
    <t xml:space="preserve">FIRST – Technology Business Incubator</t>
  </si>
  <si>
    <t xml:space="preserve">Nirmal Narayanan</t>
  </si>
  <si>
    <t xml:space="preserve">first@sastra.ac.in</t>
  </si>
  <si>
    <t xml:space="preserve">External Mentor for SASTRA FIRST TBI</t>
  </si>
  <si>
    <t xml:space="preserve">https://nidhi.dst.gov.in/incubator/</t>
  </si>
  <si>
    <t xml:space="preserve">From your database (row ID 103); draft r-4755881248115185208</t>
  </si>
  <si>
    <t xml:space="preserve">StartupTN – Tamil Nadu Startup and Innovation Mission</t>
  </si>
  <si>
    <t xml:space="preserve">MentorTN / State Startup Mission</t>
  </si>
  <si>
    <t xml:space="preserve">StartupTN MentorTN Team</t>
  </si>
  <si>
    <t xml:space="preserve">mentor@startuptn.in</t>
  </si>
  <si>
    <t xml:space="preserve">MentorTN External Mentor Support</t>
  </si>
  <si>
    <t xml:space="preserve">https://startuptnmentors.com/support.php</t>
  </si>
  <si>
    <t xml:space="preserve">From your database (row ID 105); draft r-4163635709952034049</t>
  </si>
  <si>
    <t xml:space="preserve">DLabs Incubator, ISB Hyderabad</t>
  </si>
  <si>
    <t xml:space="preserve">Sai Teja Reddy</t>
  </si>
  <si>
    <t xml:space="preserve">saiteja_reddy@isbdlabs.org</t>
  </si>
  <si>
    <t xml:space="preserve">External Mentor for DLabs ISB</t>
  </si>
  <si>
    <t xml:space="preserve">https://startup.telangana.gov.in/other-incubators/</t>
  </si>
  <si>
    <t xml:space="preserve">From your database (row ID 106); draft r3074540530572508727</t>
  </si>
  <si>
    <t xml:space="preserve">T-Hub</t>
  </si>
  <si>
    <t xml:space="preserve">T-Hub Accelerator / Innovation Hub</t>
  </si>
  <si>
    <t xml:space="preserve">Kashika Dochania</t>
  </si>
  <si>
    <t xml:space="preserve">kashika.dochania@t-hub.co; cc leadership.office@t-hub.co</t>
  </si>
  <si>
    <t xml:space="preserve">External Mentor for T-Hub Founders</t>
  </si>
  <si>
    <t xml:space="preserve">https://startup.telangana.gov.in/incubators/</t>
  </si>
  <si>
    <t xml:space="preserve">From your database (row ID 107); draft r-6573903035421955153</t>
  </si>
  <si>
    <t xml:space="preserve">University of Hyderabad</t>
  </si>
  <si>
    <t xml:space="preserve">ASPIRE / BioNEST / innovation ecosystem</t>
  </si>
  <si>
    <t xml:space="preserve">ASPIRE Team</t>
  </si>
  <si>
    <t xml:space="preserve">aspire@uohyd.ac.in; cc uohbionest@uohyd.ac.in</t>
  </si>
  <si>
    <t xml:space="preserve">External Mentor for UoH ASPIRE Founders</t>
  </si>
  <si>
    <t xml:space="preserve">https://aspire.uohyd.ac.in/contact/</t>
  </si>
  <si>
    <t xml:space="preserve">From your database (row ID 108); draft r-7267865923794325821</t>
  </si>
  <si>
    <t xml:space="preserve">WE Hub</t>
  </si>
  <si>
    <t xml:space="preserve">Women Entrepreneurship Hub</t>
  </si>
  <si>
    <t xml:space="preserve">Sita Pallacholla</t>
  </si>
  <si>
    <t xml:space="preserve">info@wehub.org.in</t>
  </si>
  <si>
    <t xml:space="preserve">External Mentor for WE Hub Founders</t>
  </si>
  <si>
    <t xml:space="preserve">https://wehub.telangana.gov.in/about-us/</t>
  </si>
  <si>
    <t xml:space="preserve">From your database (row ID 109); draft r-3827264949526384685</t>
  </si>
  <si>
    <t xml:space="preserve">Telangana Innovation Cell (TGIC)</t>
  </si>
  <si>
    <t xml:space="preserve">Startup Telangana</t>
  </si>
  <si>
    <t xml:space="preserve">Meraj Faheem</t>
  </si>
  <si>
    <t xml:space="preserve">tsic@telangana.gov.in</t>
  </si>
  <si>
    <t xml:space="preserve">Mentoring Support for Telangana Innovation Cell Founders</t>
  </si>
  <si>
    <t xml:space="preserve">https://startup.telangana.gov.in/nodal-team/</t>
  </si>
  <si>
    <t xml:space="preserve">From your database (row ID 113); draft r-4037231325551043107</t>
  </si>
  <si>
    <t xml:space="preserve">Tripura</t>
  </si>
  <si>
    <t xml:space="preserve">Startup Tripura – Directorate of Information Technology</t>
  </si>
  <si>
    <t xml:space="preserve">Startup Tripura Team</t>
  </si>
  <si>
    <t xml:space="preserve">startup.tripuraagt@gmail.com</t>
  </si>
  <si>
    <t xml:space="preserve">Mentoring Support for Startup Tripura Founders</t>
  </si>
  <si>
    <t xml:space="preserve">https://startup.tripura.gov.in/</t>
  </si>
  <si>
    <t xml:space="preserve">From your database (row ID 115); draft r-7954361623623155299</t>
  </si>
  <si>
    <t xml:space="preserve">Banaras Hindu University</t>
  </si>
  <si>
    <t xml:space="preserve">BioNEST – BHU</t>
  </si>
  <si>
    <t xml:space="preserve">Prof. Rajeshwar Prasad Sinha</t>
  </si>
  <si>
    <t xml:space="preserve">rpsinhabhu@gmail.com</t>
  </si>
  <si>
    <t xml:space="preserve">External Mentor for BHU BioNEST</t>
  </si>
  <si>
    <t xml:space="preserve">https://startinup.up.gov.in/recognized-incubators/</t>
  </si>
  <si>
    <t xml:space="preserve">From your database (row ID 117); draft r-4402013816783461901</t>
  </si>
  <si>
    <t xml:space="preserve">IIM Lucknow Enterprise Incubation Centre (IIML-EIC)</t>
  </si>
  <si>
    <t xml:space="preserve">Prof. Ashish Dubey</t>
  </si>
  <si>
    <t xml:space="preserve">incubator@iiml.ac.in</t>
  </si>
  <si>
    <t xml:space="preserve">External Mentor for IIML-EIC Founders</t>
  </si>
  <si>
    <t xml:space="preserve">https://www.iimleic.com/about-us</t>
  </si>
  <si>
    <t xml:space="preserve">From your database (row ID 118); draft r7708296043192838128</t>
  </si>
  <si>
    <t xml:space="preserve">IIT (BHU) Varanasi</t>
  </si>
  <si>
    <t xml:space="preserve">Joint Incubation Centre (JIC)</t>
  </si>
  <si>
    <t xml:space="preserve">Prof. Manoj Kumar Meshram</t>
  </si>
  <si>
    <t xml:space="preserve">coordinator.jic@itbhu.ac.in</t>
  </si>
  <si>
    <t xml:space="preserve">External Mentor for IIT (BHU) Joint Incubation Centre</t>
  </si>
  <si>
    <t xml:space="preserve">https://iitbhu.ac.in/cf/jic/people</t>
  </si>
  <si>
    <t xml:space="preserve">From your database (row ID 119); draft r-693720927295734725</t>
  </si>
  <si>
    <t xml:space="preserve">Startup Incubation &amp; Innovation Centre (SIIC)</t>
  </si>
  <si>
    <t xml:space="preserve">SIIC Team</t>
  </si>
  <si>
    <t xml:space="preserve">siic@iitk.ac.in</t>
  </si>
  <si>
    <t xml:space="preserve">External Mentor for SIIC IIT Kanpur</t>
  </si>
  <si>
    <t xml:space="preserve">https://www.siicincubator.com/contact</t>
  </si>
  <si>
    <t xml:space="preserve">From your database (row ID 120); draft r7435997480344591528</t>
  </si>
  <si>
    <t xml:space="preserve">StartInUP – Department of IT &amp; Electronics</t>
  </si>
  <si>
    <t xml:space="preserve">StartInUP Team</t>
  </si>
  <si>
    <t xml:space="preserve">info@itpolicyup.gov.in</t>
  </si>
  <si>
    <t xml:space="preserve">Mentoring Support for StartInUP Founders</t>
  </si>
  <si>
    <t xml:space="preserve">https://www.startupindia.gov.in/content/sih/en/state-startup-policies/Uttar-Pradesh-state-policy.html</t>
  </si>
  <si>
    <t xml:space="preserve">From your database (row ID 121); draft r7985494043690744405</t>
  </si>
  <si>
    <t xml:space="preserve">IIM Kashipur</t>
  </si>
  <si>
    <t xml:space="preserve">Foundation for Innovation &amp; Entrepreneurship Development (FIED)</t>
  </si>
  <si>
    <t xml:space="preserve">FIED Team</t>
  </si>
  <si>
    <t xml:space="preserve">fied@iimkashipur.ac.in; cc fied.ceo@iimkashipur.ac.in</t>
  </si>
  <si>
    <t xml:space="preserve">External Mentor for FIED Founders</t>
  </si>
  <si>
    <t xml:space="preserve">https://fied.in/</t>
  </si>
  <si>
    <t xml:space="preserve">From your database (row ID 122); draft r2341733434335723608</t>
  </si>
  <si>
    <t xml:space="preserve">Startup Uttarakhand – Department of MSME</t>
  </si>
  <si>
    <t xml:space="preserve">Startup Uttarakhand Cell</t>
  </si>
  <si>
    <t xml:space="preserve">startupcelluk@gmail.com</t>
  </si>
  <si>
    <t xml:space="preserve">Mentoring Support for Startup Uttarakhand Founders</t>
  </si>
  <si>
    <t xml:space="preserve">https://www.startupindia.gov.in/content/sih/en/state-startup-policies/Uttarakhand-state-policy.html</t>
  </si>
  <si>
    <t xml:space="preserve">From your database (row ID 125); draft r-7141626900839638993</t>
  </si>
  <si>
    <t xml:space="preserve">IIEST Shibpur</t>
  </si>
  <si>
    <t xml:space="preserve">Co-Innovation Centre (CiC)</t>
  </si>
  <si>
    <t xml:space="preserve">Tanmay Pal</t>
  </si>
  <si>
    <t xml:space="preserve">tanmay@mechatronics.iiests.ac.in</t>
  </si>
  <si>
    <t xml:space="preserve">External Mentor for IIEST Shibpur Co-Innovation Centre</t>
  </si>
  <si>
    <t xml:space="preserve">https://cic.iiests.ac.in/</t>
  </si>
  <si>
    <t xml:space="preserve">From your database (row ID 127); draft r8521712388574782763</t>
  </si>
  <si>
    <t xml:space="preserve">Science &amp; Technology Entrepreneurs’ Park (STEP)</t>
  </si>
  <si>
    <t xml:space="preserve">STEP IIT Kharagpur</t>
  </si>
  <si>
    <t xml:space="preserve">mdstep@hijli.iitkgp.ernet.in</t>
  </si>
  <si>
    <t xml:space="preserve">External Mentor for STEP IIT Kharagpur</t>
  </si>
  <si>
    <t xml:space="preserve">https://www.indiascienceandtechnology.gov.in/technologyincubators/science-and-technology-entrepreneurs-park-step-iit-kharagpur</t>
  </si>
  <si>
    <t xml:space="preserve">From your database (row ID 128); draft r-1052084539529339639; earlier research flagged this STEP address as possibly outdated</t>
  </si>
  <si>
    <t xml:space="preserve">Jadavpur University</t>
  </si>
  <si>
    <t xml:space="preserve">Innovation &amp; Startup / IIC</t>
  </si>
  <si>
    <t xml:space="preserve">IIC Jadavpur University Team</t>
  </si>
  <si>
    <t xml:space="preserve">iicju@jadavpuruniversity.in</t>
  </si>
  <si>
    <t xml:space="preserve">External Mentor for Jadavpur University Startups</t>
  </si>
  <si>
    <t xml:space="preserve">https://juinnovationstartup.jdvu.ac.in/</t>
  </si>
  <si>
    <t xml:space="preserve">From your database (row ID 129); draft r7118350969451461548</t>
  </si>
  <si>
    <t xml:space="preserve">Startup Bengal – Department of MSME &amp; Textiles</t>
  </si>
  <si>
    <t xml:space="preserve">Startup Bengal / MSME Team</t>
  </si>
  <si>
    <t xml:space="preserve">msme@wb.gov.in</t>
  </si>
  <si>
    <t xml:space="preserve">Mentoring Support for Startup Bengal Founders</t>
  </si>
  <si>
    <t xml:space="preserve">https://www.startupindia.gov.in/content/sih/en/state-startup-policies/West-Bengal-state-policy.html</t>
  </si>
  <si>
    <t xml:space="preserve">From your database (row ID 130); draft r-5554069875952919278</t>
  </si>
  <si>
    <t xml:space="preserve">FITT – Foundation for Innovation and Technology Transfer</t>
  </si>
  <si>
    <t xml:space="preserve">Dr. Ashutosh Pastor</t>
  </si>
  <si>
    <t xml:space="preserve">AshutoshPastor@fitt-iitd.in</t>
  </si>
  <si>
    <t xml:space="preserve">Skipped: Already emailed FITT (mdfitt@gmail.com)</t>
  </si>
  <si>
    <t xml:space="preserve">https://fitt-iitd.in/web/fittteam</t>
  </si>
  <si>
    <t xml:space="preserve">From your database (row ID 18)</t>
  </si>
  <si>
    <t xml:space="preserve">IIMA Ventures (formerly CIIE.CO)</t>
  </si>
  <si>
    <t xml:space="preserve">IIMA Ventures Team</t>
  </si>
  <si>
    <t xml:space="preserve">ciie@iima.ac.in</t>
  </si>
  <si>
    <t xml:space="preserve">Skipped: Already emailed IIMA Ventures</t>
  </si>
  <si>
    <t xml:space="preserve">https://www.indiascienceandtechnology.gov.in/organisationscentresofexcelle/centre-innovation-incubation-entrepreneurship-ciie</t>
  </si>
  <si>
    <t xml:space="preserve">From your database (row ID 25)</t>
  </si>
  <si>
    <t xml:space="preserve">IIIT-B Innovation Centre</t>
  </si>
  <si>
    <t xml:space="preserve">Innovation Centre Team</t>
  </si>
  <si>
    <t xml:space="preserve">ceoinnovationcenter@iiitb.ac.in</t>
  </si>
  <si>
    <t xml:space="preserve">Skipped: Already emailed IIITB Innovation Centre</t>
  </si>
  <si>
    <t xml:space="preserve">https://ic.iiitb.ac.in/</t>
  </si>
  <si>
    <t xml:space="preserve">From your database (row ID 49)</t>
  </si>
  <si>
    <t xml:space="preserve">Cochin University of Science and Technology (CUSAT)</t>
  </si>
  <si>
    <t xml:space="preserve">CUSAT Technology Business Incubator</t>
  </si>
  <si>
    <t xml:space="preserve">Dr. Kailasnath M.</t>
  </si>
  <si>
    <t xml:space="preserve">cusatechfoundation@cusat.ac.in</t>
  </si>
  <si>
    <t xml:space="preserve">Skipped: Already emailed CUSAT TBI</t>
  </si>
  <si>
    <t xml:space="preserve">https://tbi.cusat.ac.in/</t>
  </si>
  <si>
    <t xml:space="preserve">From your database (row ID 55)</t>
  </si>
  <si>
    <t xml:space="preserve">iHub – AWaDH</t>
  </si>
  <si>
    <t xml:space="preserve">AWaDH Partnerships Team</t>
  </si>
  <si>
    <t xml:space="preserve">partnerships@ihub-awadh.in</t>
  </si>
  <si>
    <t xml:space="preserve">Skipped: Already emailed iHub AWaDH CEO</t>
  </si>
  <si>
    <t xml:space="preserve">https://ihub-awadh.in/contact-us/</t>
  </si>
  <si>
    <t xml:space="preserve">From your database (row ID 86)</t>
  </si>
  <si>
    <t xml:space="preserve">IIT Madras Incubation Cell</t>
  </si>
  <si>
    <t xml:space="preserve">IITM Incubation Cell Team</t>
  </si>
  <si>
    <t xml:space="preserve">jaya@incubation.iitm.ac.in</t>
  </si>
  <si>
    <t xml:space="preserve">Skipped: Already emailed IITM Incubation Cell</t>
  </si>
  <si>
    <t xml:space="preserve">From your database (row ID 100)</t>
  </si>
  <si>
    <t xml:space="preserve">Technology Business Incubator / Innovation &amp; Entrepreneurship Forum</t>
  </si>
  <si>
    <t xml:space="preserve">Dr. Praveen Kumar Subramanian</t>
  </si>
  <si>
    <t xml:space="preserve">praveenkumar.mts@kongu.edu</t>
  </si>
  <si>
    <t xml:space="preserve">Skipped: Already emailed TBI@KEC</t>
  </si>
  <si>
    <t xml:space="preserve">https://kongu.ac.in/kongu.ac.in/ief.php</t>
  </si>
  <si>
    <t xml:space="preserve">From your database (row ID 101)</t>
  </si>
  <si>
    <t xml:space="preserve">Mohit Nagpal</t>
  </si>
  <si>
    <t xml:space="preserve">contact@runwayincubator.com</t>
  </si>
  <si>
    <t xml:space="preserve">Skipped: Already emailed UPES Runway</t>
  </si>
  <si>
    <t xml:space="preserve">https://www.runwayincubator.com/</t>
  </si>
  <si>
    <t xml:space="preserve">From your database (row ID 124)</t>
  </si>
  <si>
    <t xml:space="preserve">Anna Incubator</t>
  </si>
  <si>
    <t xml:space="preserve">Anna Incubator Team</t>
  </si>
  <si>
    <t xml:space="preserve">contact@annaincubator.org</t>
  </si>
  <si>
    <t xml:space="preserve">Skipped: Anna University already emailed twice (TBI, CED)</t>
  </si>
  <si>
    <t xml:space="preserve">https://annaincubator.org/contact/</t>
  </si>
  <si>
    <t xml:space="preserve">From your database (row ID 96)</t>
  </si>
  <si>
    <t xml:space="preserve">JAIN (Deemed-to-be University)</t>
  </si>
  <si>
    <t xml:space="preserve">Chenraj Roychand Centre for Entrepreneurship (CUBEC)</t>
  </si>
  <si>
    <t xml:space="preserve">CUBEC Team</t>
  </si>
  <si>
    <t xml:space="preserve">int.cubec@jainuniversity.ac.in</t>
  </si>
  <si>
    <t xml:space="preserve">Skipped: JAIN already emailed via JAIN Launchpad</t>
  </si>
  <si>
    <t xml:space="preserve">https://www.jainuniversity.ac.in/cubec/contact.php</t>
  </si>
  <si>
    <t xml:space="preserve">From your database (row ID 47)</t>
  </si>
  <si>
    <t xml:space="preserve">Indian School of Business (ISB)</t>
  </si>
  <si>
    <t xml:space="preserve">I-Venture / DLabs</t>
  </si>
  <si>
    <t xml:space="preserve">I-Venture Team</t>
  </si>
  <si>
    <t xml:space="preserve">i-venture@isb.edu</t>
  </si>
  <si>
    <t xml:space="preserve">Skipped: ISB covered via DLabs draft</t>
  </si>
  <si>
    <t xml:space="preserve">https://i-venture.org/connect/</t>
  </si>
  <si>
    <t xml:space="preserve">From your database (row ID 110)</t>
  </si>
  <si>
    <t xml:space="preserve">University of Jammu</t>
  </si>
  <si>
    <t xml:space="preserve">Business Incubation &amp; Innovation Centre</t>
  </si>
  <si>
    <t xml:space="preserve">Dr. Harish Chander Dutt</t>
  </si>
  <si>
    <t xml:space="preserve">helpdesk@jammuuniversity.ac.in</t>
  </si>
  <si>
    <t xml:space="preserve">Skipped: Only a general university helpdesk email</t>
  </si>
  <si>
    <t xml:space="preserve">https://jammuuniversity.ac.in/Isk/incubation-innovation-centre</t>
  </si>
  <si>
    <t xml:space="preserve">From your database (row ID 34)</t>
  </si>
  <si>
    <t xml:space="preserve">Manipur University</t>
  </si>
  <si>
    <t xml:space="preserve">Incubation Centre / Start-ups &amp; Entrepreneurship Cell</t>
  </si>
  <si>
    <t xml:space="preserve">Incubation / Entrepreneurship Cell</t>
  </si>
  <si>
    <t xml:space="preserve">info@manipuruniv.ac.in</t>
  </si>
  <si>
    <t xml:space="preserve">Skipped: Only a general university info email</t>
  </si>
  <si>
    <t xml:space="preserve">https://www.manipuruniv.ac.in/p/incubation-centre-start-ups-entrepreneurship-cell-2</t>
  </si>
  <si>
    <t xml:space="preserve">From your database (row ID 69)</t>
  </si>
  <si>
    <t xml:space="preserve">NSRCEL Team</t>
  </si>
  <si>
    <t xml:space="preserve">Skipped: No email in database</t>
  </si>
  <si>
    <t xml:space="preserve">https://nsrcel.org/contact-us/</t>
  </si>
  <si>
    <t xml:space="preserve">From your database (row ID 48)</t>
  </si>
  <si>
    <t xml:space="preserve">Nagaland University</t>
  </si>
  <si>
    <t xml:space="preserve">IIE-NEC Incubation Centre</t>
  </si>
  <si>
    <t xml:space="preserve">https://kohima.nagalanduniversity.ac.in/man_ic</t>
  </si>
  <si>
    <t xml:space="preserve">From your database (row ID 75)</t>
  </si>
  <si>
    <t xml:space="preserve">Department of Industries &amp; Commerce, Puducherry</t>
  </si>
  <si>
    <t xml:space="preserve">Puducherry Startup Cell</t>
  </si>
  <si>
    <t xml:space="preserve">Puducherry Startup Cell Team</t>
  </si>
  <si>
    <t xml:space="preserve">https://www.startupindia.gov.in/content/sih/en/startup-scheme/state-startup-policies/Puducherry-state-policy.html</t>
  </si>
  <si>
    <t xml:space="preserve">From your database (row ID 84)</t>
  </si>
  <si>
    <t xml:space="preserve">Tripura University</t>
  </si>
  <si>
    <t xml:space="preserve">Entrepreneurship Development Centre &amp; Incubation Centre</t>
  </si>
  <si>
    <t xml:space="preserve">Prof. Salim Shah</t>
  </si>
  <si>
    <t xml:space="preserve">https://tripurauniv.ac.in/site/index.php/en/edc-ic-home-en</t>
  </si>
  <si>
    <t xml:space="preserve">From your database (row ID 114)</t>
  </si>
  <si>
    <t xml:space="preserve">Gulf</t>
  </si>
  <si>
    <t xml:space="preserve">UAE</t>
  </si>
  <si>
    <t xml:space="preserve">Government / Startup Ecosystem</t>
  </si>
  <si>
    <t xml:space="preserve">Mohammed Bin Rashid Innovation Fund (MBRIF)</t>
  </si>
  <si>
    <t xml:space="preserve">Innovation Accelerator</t>
  </si>
  <si>
    <t xml:space="preserve">MBRIF Team</t>
  </si>
  <si>
    <t xml:space="preserve">contact@mbrif.ae; cc info@mbrinnovationfund.ae</t>
  </si>
  <si>
    <t xml:space="preserve">UAE banking line; category areas</t>
  </si>
  <si>
    <t xml:space="preserve">https://mbrif.ae/ar/contact-us-2/</t>
  </si>
  <si>
    <t xml:space="preserve">From your Gulf database (row ID 4); draft r5630801671165338073</t>
  </si>
  <si>
    <t xml:space="preserve">Khalifa Fund for Enterprise Development</t>
  </si>
  <si>
    <t xml:space="preserve">Entrepreneurship support</t>
  </si>
  <si>
    <t xml:space="preserve">Khalifa Fund Team</t>
  </si>
  <si>
    <t xml:space="preserve">info@khalifafund.ae</t>
  </si>
  <si>
    <t xml:space="preserve">https://www.khalifafund.ae/contact/</t>
  </si>
  <si>
    <t xml:space="preserve">From your Gulf database (row ID 9); draft r114839775341361874</t>
  </si>
  <si>
    <t xml:space="preserve">Acknowledged; under review</t>
  </si>
  <si>
    <t xml:space="preserve">Sharjah SME – RUWAD</t>
  </si>
  <si>
    <t xml:space="preserve">RUWAD Team</t>
  </si>
  <si>
    <t xml:space="preserve">info@ruwad.ae</t>
  </si>
  <si>
    <t xml:space="preserve">https://www.ruwad.ae/</t>
  </si>
  <si>
    <t xml:space="preserve">From your Gulf database (row ID 10); draft r-3843140255604483341</t>
  </si>
  <si>
    <t xml:space="preserve">Engineering / Technology University</t>
  </si>
  <si>
    <t xml:space="preserve">Khalifa University</t>
  </si>
  <si>
    <t xml:space="preserve">Technology Management &amp; Innovation</t>
  </si>
  <si>
    <t xml:space="preserve">Aysha Ali Rashed AlNuaimi</t>
  </si>
  <si>
    <t xml:space="preserve">aysha.alnuaimi@ku.ac.ae</t>
  </si>
  <si>
    <t xml:space="preserve">https://www.ku.ac.ae/research-offices/technology-management-innovation</t>
  </si>
  <si>
    <t xml:space="preserve">From your Gulf database (row ID 12); draft r-6346713479488486110</t>
  </si>
  <si>
    <t xml:space="preserve">Mohamed bin Zayed University of Artificial Intelligence (MBZUAI)</t>
  </si>
  <si>
    <t xml:space="preserve">Incubation &amp; Entrepreneurship Center (IEC)</t>
  </si>
  <si>
    <t xml:space="preserve">IEC Team</t>
  </si>
  <si>
    <t xml:space="preserve">iec@mbzuai.ac.ae</t>
  </si>
  <si>
    <t xml:space="preserve">https://mbzuai.ac.ae/about-us/contact-mbzuai</t>
  </si>
  <si>
    <t xml:space="preserve">From your Gulf database (row ID 13); draft r-4534443712543004141</t>
  </si>
  <si>
    <t xml:space="preserve">University of Sharjah</t>
  </si>
  <si>
    <t xml:space="preserve">Innovation Hub</t>
  </si>
  <si>
    <t xml:space="preserve">Engr. Mahmoud Abu Shammeh</t>
  </si>
  <si>
    <t xml:space="preserve">abushammeh@sharjah.ac.ae</t>
  </si>
  <si>
    <t xml:space="preserve">https://www.sharjah.ac.ae/en/Services/Departments/Innovation-Hub</t>
  </si>
  <si>
    <t xml:space="preserve">From your Gulf database (row ID 14); draft r4645653605514490063</t>
  </si>
  <si>
    <t xml:space="preserve">B-School / University Entrepreneurship</t>
  </si>
  <si>
    <t xml:space="preserve">United Arab Emirates University (UAEU)</t>
  </si>
  <si>
    <t xml:space="preserve">Emirates Centre for Entrepreneurship Research</t>
  </si>
  <si>
    <t xml:space="preserve">Dr. Ishara Maharaj</t>
  </si>
  <si>
    <t xml:space="preserve">ishara.maharaj@uaeu.ac.ae</t>
  </si>
  <si>
    <t xml:space="preserve">https://www.uaeu.ac.ae/en/research/research-booklet-uaeu-2024.pdf</t>
  </si>
  <si>
    <t xml:space="preserve">From your Gulf database (row ID 15); draft r1141221042611016760</t>
  </si>
  <si>
    <t xml:space="preserve">Rochester Institute of Technology Dubai (RIT Dubai)</t>
  </si>
  <si>
    <t xml:space="preserve">Projects &amp; Development / entrepreneurship ecosystem</t>
  </si>
  <si>
    <t xml:space="preserve">Yousef Al Mannaee</t>
  </si>
  <si>
    <t xml:space="preserve">yaacad@rit.edu</t>
  </si>
  <si>
    <t xml:space="preserve">https://www.rit.edu/dubai/</t>
  </si>
  <si>
    <t xml:space="preserve">From your Gulf database (row ID 16); draft r3344870468011742189</t>
  </si>
  <si>
    <t xml:space="preserve">SP Jain School of Global Management</t>
  </si>
  <si>
    <t xml:space="preserve">Dubai Campus</t>
  </si>
  <si>
    <t xml:space="preserve">Amol Sawant</t>
  </si>
  <si>
    <t xml:space="preserve">amol.sawant@spjain.org</t>
  </si>
  <si>
    <t xml:space="preserve">https://www.spjain.ae/contact-us</t>
  </si>
  <si>
    <t xml:space="preserve">From your Gulf database (row ID 17); draft r7034838542159278907</t>
  </si>
  <si>
    <t xml:space="preserve">Monsha'at – Small and Medium Enterprises General Authority</t>
  </si>
  <si>
    <t xml:space="preserve">Monsha'at Innovation Center Team</t>
  </si>
  <si>
    <t xml:space="preserve">InnovationCenters@monshaat.gov.sa</t>
  </si>
  <si>
    <t xml:space="preserve">https://www.monshaat.gov.sa/en/support</t>
  </si>
  <si>
    <t xml:space="preserve">From your Gulf database (row ID 20); draft r-1141007668268629440</t>
  </si>
  <si>
    <t xml:space="preserve">Accelerator / Incubator</t>
  </si>
  <si>
    <t xml:space="preserve">Mohammed bin Salman Foundation (Misk)</t>
  </si>
  <si>
    <t xml:space="preserve">Misk Entrepreneurship</t>
  </si>
  <si>
    <t xml:space="preserve">Misk Entrepreneurship Team</t>
  </si>
  <si>
    <t xml:space="preserve">contact@misk.org.sa</t>
  </si>
  <si>
    <t xml:space="preserve">https://misk.org.sa/en/ask-misk-en/</t>
  </si>
  <si>
    <t xml:space="preserve">From your Gulf database (row ID 23); draft r7082661444411573771</t>
  </si>
  <si>
    <t xml:space="preserve">King Abdullah University of Science and Technology (KAUST)</t>
  </si>
  <si>
    <t xml:space="preserve">KAUST Entrepreneurship Team</t>
  </si>
  <si>
    <t xml:space="preserve">leap@kaust.edu.sa; cc entrepreneurship@kaust.edu.sa</t>
  </si>
  <si>
    <t xml:space="preserve">https://www.kaust.edu.sa/</t>
  </si>
  <si>
    <t xml:space="preserve">From your Gulf database (row ID 24); draft r3525119549865814382; 26 Sep auto reply: inbox not monitored, redirected to apply.taqadam@kaust.edu.sa</t>
  </si>
  <si>
    <t xml:space="preserve">Blocked by KAUST server; EC auto reply redirected to TAQADAM</t>
  </si>
  <si>
    <t xml:space="preserve">King Saud University</t>
  </si>
  <si>
    <t xml:space="preserve">Dr. Khalid Alhussaini</t>
  </si>
  <si>
    <t xml:space="preserve">kalhussaini@ksu.edu.sa</t>
  </si>
  <si>
    <t xml:space="preserve">https://ei.ksu.edu.sa/en/workteam_En</t>
  </si>
  <si>
    <t xml:space="preserve">From your Gulf database (row ID 27); draft r1904957979993495362</t>
  </si>
  <si>
    <t xml:space="preserve">Alfaisal University</t>
  </si>
  <si>
    <t xml:space="preserve">Alfaisal Accelerator</t>
  </si>
  <si>
    <t xml:space="preserve">Alfaisal Accelerator Team</t>
  </si>
  <si>
    <t xml:space="preserve">center@alfaisal.edu; cc cipc@alfaisal.edu</t>
  </si>
  <si>
    <t xml:space="preserve">https://center.alfaisal.edu/accelerator</t>
  </si>
  <si>
    <t xml:space="preserve">From your Gulf database (row ID 31); draft r7921241812511184006</t>
  </si>
  <si>
    <t xml:space="preserve">Prince Sultan University</t>
  </si>
  <si>
    <t xml:space="preserve">Entrepreneurship Club</t>
  </si>
  <si>
    <t xml:space="preserve">Entrepreneurship Club Team</t>
  </si>
  <si>
    <t xml:space="preserve">epclub@psu.edu.sa</t>
  </si>
  <si>
    <t xml:space="preserve">https://www.psu.edu.sa/en/resources</t>
  </si>
  <si>
    <t xml:space="preserve">From your Gulf database (row ID 33); draft r-8244945274447417487</t>
  </si>
  <si>
    <t xml:space="preserve">Small and Medium Enterprises Development Authority (Riyada)</t>
  </si>
  <si>
    <t xml:space="preserve">SME &amp; entrepreneurship ecosystem</t>
  </si>
  <si>
    <t xml:space="preserve">H.E. Halima Al-Zari</t>
  </si>
  <si>
    <t xml:space="preserve">Doc@sme.gov.om</t>
  </si>
  <si>
    <t xml:space="preserve">https://sme.gov.om/en/contact-us/</t>
  </si>
  <si>
    <t xml:space="preserve">From your Gulf database (row ID 36); draft r-3937425529673202709</t>
  </si>
  <si>
    <t xml:space="preserve">ITHCA Group</t>
  </si>
  <si>
    <t xml:space="preserve">Technology investment &amp; innovation ecosystem</t>
  </si>
  <si>
    <t xml:space="preserve">ITHCA Team</t>
  </si>
  <si>
    <t xml:space="preserve">info@ithca.om</t>
  </si>
  <si>
    <t xml:space="preserve">https://ithca.om/contact/</t>
  </si>
  <si>
    <t xml:space="preserve">From your Gulf database (row ID 37); draft r1372490503734842533</t>
  </si>
  <si>
    <t xml:space="preserve">Oman Technology Fund (OTF)</t>
  </si>
  <si>
    <t xml:space="preserve">Technology investment / acceleration</t>
  </si>
  <si>
    <t xml:space="preserve">OTF Team</t>
  </si>
  <si>
    <t xml:space="preserve">info@otf.om</t>
  </si>
  <si>
    <t xml:space="preserve">https://www.otf.om/__trashed-3/contact/</t>
  </si>
  <si>
    <t xml:space="preserve">From your Gulf database (row ID 38); draft r7627514295430148766</t>
  </si>
  <si>
    <t xml:space="preserve">Oman Startup Hub</t>
  </si>
  <si>
    <t xml:space="preserve">National startup ecosystem platform</t>
  </si>
  <si>
    <t xml:space="preserve">Oman Startup Hub Team</t>
  </si>
  <si>
    <t xml:space="preserve">support@omanstartuphub.om</t>
  </si>
  <si>
    <t xml:space="preserve">https://omanstartuphub.om/contact-us</t>
  </si>
  <si>
    <t xml:space="preserve">From your Gulf database (row ID 39); draft r3062347293317940422</t>
  </si>
  <si>
    <t xml:space="preserve">Innovation &amp; Technology Transfer Centre</t>
  </si>
  <si>
    <t xml:space="preserve">Dr. Adil Said Ali Al-Busaidi</t>
  </si>
  <si>
    <t xml:space="preserve">abusaid@squ.edu.om; cc innovation@squ.edu.om</t>
  </si>
  <si>
    <t xml:space="preserve">https://innovation.squ.edu.om/contact-us</t>
  </si>
  <si>
    <t xml:space="preserve">From your Gulf database (row ID 40); draft r-1785991382766887219</t>
  </si>
  <si>
    <t xml:space="preserve">Middle East College</t>
  </si>
  <si>
    <t xml:space="preserve">MEC Incubation Centre</t>
  </si>
  <si>
    <t xml:space="preserve">Incubation Centre Contact</t>
  </si>
  <si>
    <t xml:space="preserve">ralhatmi@mec.edu.om</t>
  </si>
  <si>
    <t xml:space="preserve">https://mec.edu.om/en/mec-incubation-centre/</t>
  </si>
  <si>
    <t xml:space="preserve">From your Gulf database (row ID 41); draft r1114602493365089014</t>
  </si>
  <si>
    <t xml:space="preserve">Technology Transfer &amp; Incubation Centre</t>
  </si>
  <si>
    <t xml:space="preserve">Tameema Al-Hinai</t>
  </si>
  <si>
    <t xml:space="preserve">thinai@su.edu.om; cc FSHshibli@su.edu.om</t>
  </si>
  <si>
    <t xml:space="preserve">https://www.su.edu.om/knowledge-transfer-and-incubation-centre/</t>
  </si>
  <si>
    <t xml:space="preserve">From your Gulf database (row ID 42); draft r-2211945643477011548</t>
  </si>
  <si>
    <t xml:space="preserve">National Fund for SME Development</t>
  </si>
  <si>
    <t xml:space="preserve">SME support, incubation &amp; accelerator ecosystem</t>
  </si>
  <si>
    <t xml:space="preserve">National Fund Team</t>
  </si>
  <si>
    <t xml:space="preserve">Info@nationalfund.gov.kw</t>
  </si>
  <si>
    <t xml:space="preserve">https://www.nationalfund.gov.kw/en/about-us/our-services/support-services-center/</t>
  </si>
  <si>
    <t xml:space="preserve">From your Gulf database (row ID 47); draft r-6158923234082117579</t>
  </si>
  <si>
    <t xml:space="preserve">Kuwait University</t>
  </si>
  <si>
    <t xml:space="preserve">Department of Institutional Innovation / Kuwait University Innovation Zone</t>
  </si>
  <si>
    <t xml:space="preserve">KUIZ Team</t>
  </si>
  <si>
    <t xml:space="preserve">kuiz@ku.edu.kw</t>
  </si>
  <si>
    <t xml:space="preserve">https://kuiz.ku.edu.kw/contact-us</t>
  </si>
  <si>
    <t xml:space="preserve">From your Gulf database (row ID 48); draft r5408721930605159412</t>
  </si>
  <si>
    <t xml:space="preserve">American University of Kuwait (AUK)</t>
  </si>
  <si>
    <t xml:space="preserve">College of Business &amp; Economics</t>
  </si>
  <si>
    <t xml:space="preserve">Dr. Naeimah Alkharafi</t>
  </si>
  <si>
    <t xml:space="preserve">nalkharafi@auk.edu.kw</t>
  </si>
  <si>
    <t xml:space="preserve">https://www.auk.edu.kw/academics/college-of-business-economics</t>
  </si>
  <si>
    <t xml:space="preserve">From your Gulf database (row ID 51); draft r-7095601082933819681</t>
  </si>
  <si>
    <t xml:space="preserve">Kuwait Innovation Center</t>
  </si>
  <si>
    <t xml:space="preserve">Mohammad AlRefaei</t>
  </si>
  <si>
    <t xml:space="preserve">info@kinncenter.com</t>
  </si>
  <si>
    <t xml:space="preserve">https://www.kinncenter.com/contactus</t>
  </si>
  <si>
    <t xml:space="preserve">From your Gulf database (row ID 53); draft r-2844471121133867344</t>
  </si>
  <si>
    <t xml:space="preserve">Kuwait Foundation for the Advancement of Sciences (KFAS)</t>
  </si>
  <si>
    <t xml:space="preserve">Innovation &amp; Enterprise</t>
  </si>
  <si>
    <t xml:space="preserve">Innovation &amp; Enterprise Team</t>
  </si>
  <si>
    <t xml:space="preserve">enterprisesupport@kfas.org.kw</t>
  </si>
  <si>
    <t xml:space="preserve">https://app.kfas.org.kw/coFunding%20Support%20Form/Form1.aspx</t>
  </si>
  <si>
    <t xml:space="preserve">From your Gulf database (row ID 54); draft r-3655065158060403258</t>
  </si>
  <si>
    <t xml:space="preserve">Tamkeen – Labour Fund</t>
  </si>
  <si>
    <t xml:space="preserve">Entrepreneurship &amp; enterprise support</t>
  </si>
  <si>
    <t xml:space="preserve">Tamkeen Team</t>
  </si>
  <si>
    <t xml:space="preserve">support@tamkeen.bh</t>
  </si>
  <si>
    <t xml:space="preserve">https://www.tamkeen.bh/</t>
  </si>
  <si>
    <t xml:space="preserve">From your Gulf database (row ID 55); draft r6269657248121828324</t>
  </si>
  <si>
    <t xml:space="preserve">Acknowledged; reply within 2 working days</t>
  </si>
  <si>
    <t xml:space="preserve">Bahrain Economic Development Board (Bahrain EDB)</t>
  </si>
  <si>
    <t xml:space="preserve">Investment &amp; innovation ecosystem</t>
  </si>
  <si>
    <t xml:space="preserve">Bahrain EDB Team</t>
  </si>
  <si>
    <t xml:space="preserve">hello@bahrainedb.com</t>
  </si>
  <si>
    <t xml:space="preserve">https://www.bahrainedb.com/contact-us</t>
  </si>
  <si>
    <t xml:space="preserve">From your Gulf database (row ID 56); draft r-8610731643958459053</t>
  </si>
  <si>
    <t xml:space="preserve">Bahrain FinTech Bay</t>
  </si>
  <si>
    <t xml:space="preserve">Fintech ecosystem &amp; acceleration</t>
  </si>
  <si>
    <t xml:space="preserve">Bader Sater</t>
  </si>
  <si>
    <t xml:space="preserve">info@bahrainfintechbay.com</t>
  </si>
  <si>
    <t xml:space="preserve">https://www.bahrainfintechbay.com/contact-us</t>
  </si>
  <si>
    <t xml:space="preserve">From your Gulf database (row ID 58); draft r-5791401384407680780</t>
  </si>
  <si>
    <t xml:space="preserve">Tenmou – Bahrain Business Angels Company</t>
  </si>
  <si>
    <t xml:space="preserve">MENA Angel Investors Summit / startup ecosystem</t>
  </si>
  <si>
    <t xml:space="preserve">Tenmou Summit Team</t>
  </si>
  <si>
    <t xml:space="preserve">menasummit@tenmou.me</t>
  </si>
  <si>
    <t xml:space="preserve">https://tenmou.me/mena-angel-investors-summit-2026-2/</t>
  </si>
  <si>
    <t xml:space="preserve">From your Gulf database (row ID 60); draft r1325733598136462371</t>
  </si>
  <si>
    <t xml:space="preserve">Bahrain Innovation &amp; Technology Transfer Center (BITTC)</t>
  </si>
  <si>
    <t xml:space="preserve">BITTC Team</t>
  </si>
  <si>
    <t xml:space="preserve">bittc@uob.edu.bh</t>
  </si>
  <si>
    <t xml:space="preserve">https://www.uob.edu.bh/our-centers/bittc/</t>
  </si>
  <si>
    <t xml:space="preserve">From your Gulf database (row ID 62); draft r-5573599313989467500</t>
  </si>
  <si>
    <t xml:space="preserve">Dubai Technology Entrepreneur Campus (Dtec)</t>
  </si>
  <si>
    <t xml:space="preserve">Dtec Team</t>
  </si>
  <si>
    <t xml:space="preserve">dtec.sales@dtec.ae</t>
  </si>
  <si>
    <t xml:space="preserve">Skipped: Dtec already emailed (dtec@dso.ae)</t>
  </si>
  <si>
    <t xml:space="preserve">https://dtec.ae/contact/</t>
  </si>
  <si>
    <t xml:space="preserve">From your Gulf database (row ID 3)</t>
  </si>
  <si>
    <t xml:space="preserve">DIFC Innovation Hub</t>
  </si>
  <si>
    <t xml:space="preserve">Mohammad Alblooshi</t>
  </si>
  <si>
    <t xml:space="preserve">https://www.innovationhub.difc.ae/</t>
  </si>
  <si>
    <t xml:space="preserve">From your Gulf database (row ID 6)</t>
  </si>
  <si>
    <t xml:space="preserve">Future ecosystem / innovation programs</t>
  </si>
  <si>
    <t xml:space="preserve">Dubai Future Foundation Team</t>
  </si>
  <si>
    <t xml:space="preserve">https://www.dubaifuture.ae/reach-us/</t>
  </si>
  <si>
    <t xml:space="preserve">From your Gulf database (row ID 7)</t>
  </si>
  <si>
    <t xml:space="preserve">Dubai Chamber of Digital Economy</t>
  </si>
  <si>
    <t xml:space="preserve">Digital Economy ecosystem</t>
  </si>
  <si>
    <t xml:space="preserve">Digital Economy Team</t>
  </si>
  <si>
    <t xml:space="preserve">customercare@dubaichamber.com</t>
  </si>
  <si>
    <t xml:space="preserve">Skipped: Only a customer care inbox</t>
  </si>
  <si>
    <t xml:space="preserve">https://myhub.dubaichamber.com/en/web/dubai-chamber-of-digital-economy/home</t>
  </si>
  <si>
    <t xml:space="preserve">From your Gulf database (row ID 8)</t>
  </si>
  <si>
    <t xml:space="preserve">Innovation &amp; Entrepreneurship Center</t>
  </si>
  <si>
    <t xml:space="preserve">Innovation &amp; Entrepreneurship Center Team</t>
  </si>
  <si>
    <t xml:space="preserve">https://www.zu.ac.ae/main/en/ie-center/index</t>
  </si>
  <si>
    <t xml:space="preserve">From your Gulf database (row ID 18)</t>
  </si>
  <si>
    <t xml:space="preserve">Department of Management, Strategy &amp; Entrepreneurship</t>
  </si>
  <si>
    <t xml:space="preserve">Dr. Virginia Bodolica</t>
  </si>
  <si>
    <t xml:space="preserve">https://www.aus.edu/sba/department-of-management-strategy-entrepreneurship</t>
  </si>
  <si>
    <t xml:space="preserve">From your Gulf database (row ID 19)</t>
  </si>
  <si>
    <t xml:space="preserve">Ministry of Communications and Information Technology (MCIT)</t>
  </si>
  <si>
    <t xml:space="preserve">CODE Gate</t>
  </si>
  <si>
    <t xml:space="preserve">CODE / MCIT Team</t>
  </si>
  <si>
    <t xml:space="preserve">info@mcit.gov.sa</t>
  </si>
  <si>
    <t xml:space="preserve">Skipped: Only a general ministry inbox</t>
  </si>
  <si>
    <t xml:space="preserve">https://my.gov.sa/en/services/2477063</t>
  </si>
  <si>
    <t xml:space="preserve">From your Gulf database (row ID 21)</t>
  </si>
  <si>
    <t xml:space="preserve">Tech Founders</t>
  </si>
  <si>
    <t xml:space="preserve">Tech Founders Team</t>
  </si>
  <si>
    <t xml:space="preserve">https://my.gov.sa/en/services/2422923</t>
  </si>
  <si>
    <t xml:space="preserve">From your Gulf database (row ID 22)</t>
  </si>
  <si>
    <t xml:space="preserve">TAQADAM Accelerator</t>
  </si>
  <si>
    <t xml:space="preserve">TAQADAM Team</t>
  </si>
  <si>
    <t xml:space="preserve">Apply.Taqadam@kaust.edu.sa</t>
  </si>
  <si>
    <t xml:space="preserve">Skipped: KAUST covered via Entrepreneurship Center email</t>
  </si>
  <si>
    <t xml:space="preserve">https://taqadam.kaust.edu.sa/</t>
  </si>
  <si>
    <t xml:space="preserve">From your Gulf database (row ID 25)</t>
  </si>
  <si>
    <t xml:space="preserve">KAUST Innovation Fund</t>
  </si>
  <si>
    <t xml:space="preserve">KAUST Innovation Fund Team</t>
  </si>
  <si>
    <t xml:space="preserve">KIF@kaust.edu.sa</t>
  </si>
  <si>
    <t xml:space="preserve">https://www.kaust.edu.sa/en/news/how-kaust-is-enabling-the-in-kingdom-entrepreneurs-of-tomorrow</t>
  </si>
  <si>
    <t xml:space="preserve">From your Gulf database (row ID 26)</t>
  </si>
  <si>
    <t xml:space="preserve">King Fahd University of Petroleum &amp; Minerals (KFUPM)</t>
  </si>
  <si>
    <t xml:space="preserve">Prof. Wail A. Mousa</t>
  </si>
  <si>
    <t xml:space="preserve">wailmousa@kfupm.edu.sa</t>
  </si>
  <si>
    <t xml:space="preserve">Skipped: KFUPM already emailed (ei@kfupm.edu.sa)</t>
  </si>
  <si>
    <t xml:space="preserve">https://www.kfupm.edu.sa/</t>
  </si>
  <si>
    <t xml:space="preserve">From your Gulf database (row ID 29)</t>
  </si>
  <si>
    <t xml:space="preserve">Center for Innovation, Partnership &amp; Community Engagement (CIPC)</t>
  </si>
  <si>
    <t xml:space="preserve">CIPC Team</t>
  </si>
  <si>
    <t xml:space="preserve">cipc@alfaisal.edu</t>
  </si>
  <si>
    <t xml:space="preserve">Skipped: Alfaisal covered via Accelerator email (CIPC in cc)</t>
  </si>
  <si>
    <t xml:space="preserve">https://cipc.alfaisal.edu/contact-us</t>
  </si>
  <si>
    <t xml:space="preserve">From your Gulf database (row ID 30)</t>
  </si>
  <si>
    <t xml:space="preserve">Effat University</t>
  </si>
  <si>
    <t xml:space="preserve">Business Innovation &amp; Entrepreneurship Research Center</t>
  </si>
  <si>
    <t xml:space="preserve">Center Team</t>
  </si>
  <si>
    <t xml:space="preserve">https://www.effatuniversity.edu.sa/English/Research/Research-Centers/Business-Innovation-and-Entrepreneurship/Pages/default.aspx</t>
  </si>
  <si>
    <t xml:space="preserve">From your Gulf database (row ID 32)</t>
  </si>
  <si>
    <t xml:space="preserve">stc</t>
  </si>
  <si>
    <t xml:space="preserve">inspireU</t>
  </si>
  <si>
    <t xml:space="preserve">inspireU Team</t>
  </si>
  <si>
    <t xml:space="preserve">https://www.stc.com/en/inspire-u/apply-now.html</t>
  </si>
  <si>
    <t xml:space="preserve">From your Gulf database (row ID 34)</t>
  </si>
  <si>
    <t xml:space="preserve">The Garage</t>
  </si>
  <si>
    <t xml:space="preserve">Startup / deep-tech innovation hub</t>
  </si>
  <si>
    <t xml:space="preserve">The Garage Team</t>
  </si>
  <si>
    <t xml:space="preserve">https://erp.thegarage.sa/contactus</t>
  </si>
  <si>
    <t xml:space="preserve">From your Gulf database (row ID 35)</t>
  </si>
  <si>
    <t xml:space="preserve">National University of Science &amp; Technology</t>
  </si>
  <si>
    <t xml:space="preserve">Incubation Centre – Money Factory</t>
  </si>
  <si>
    <t xml:space="preserve">Ibrahim Issa Al Balushi</t>
  </si>
  <si>
    <t xml:space="preserve">info@nu.edu.om</t>
  </si>
  <si>
    <t xml:space="preserve">Skipped: NU Oman already emailed; only general info@ inbox</t>
  </si>
  <si>
    <t xml:space="preserve">https://nu.edu.om/research/research-incubation-centers/</t>
  </si>
  <si>
    <t xml:space="preserve">From your Gulf database (row ID 43)</t>
  </si>
  <si>
    <t xml:space="preserve">College of Banking and Financial Studies</t>
  </si>
  <si>
    <t xml:space="preserve">Innovation &amp; entrepreneurship ecosystem</t>
  </si>
  <si>
    <t xml:space="preserve">CBFS Team</t>
  </si>
  <si>
    <t xml:space="preserve">info@cbfs.edu.om</t>
  </si>
  <si>
    <t xml:space="preserve">Skipped: Only a general college info inbox</t>
  </si>
  <si>
    <t xml:space="preserve">https://cbfs.edu.om/contact-us/</t>
  </si>
  <si>
    <t xml:space="preserve">From your Gulf database (row ID 44)</t>
  </si>
  <si>
    <t xml:space="preserve">Muscat University</t>
  </si>
  <si>
    <t xml:space="preserve">Business &amp; entrepreneurship ecosystem</t>
  </si>
  <si>
    <t xml:space="preserve">Muscat University Team</t>
  </si>
  <si>
    <t xml:space="preserve">info@muscatuniversity.edu.om</t>
  </si>
  <si>
    <t xml:space="preserve">Skipped: Only general university info/admissions inboxes</t>
  </si>
  <si>
    <t xml:space="preserve">https://muscatuniversity.edu.om/contact-us/</t>
  </si>
  <si>
    <t xml:space="preserve">From your Gulf database (row ID 45)</t>
  </si>
  <si>
    <t xml:space="preserve">University of Technology and Applied Sciences (UTAS) – Sur</t>
  </si>
  <si>
    <t xml:space="preserve">Entrepreneurship / applied technology ecosystem</t>
  </si>
  <si>
    <t xml:space="preserve">UTAS Sur Team</t>
  </si>
  <si>
    <t xml:space="preserve">pro.sur@utas.edu.om</t>
  </si>
  <si>
    <t xml:space="preserve">Skipped: Only a public relations inbox</t>
  </si>
  <si>
    <t xml:space="preserve">https://www.utas.edu.om/sur/</t>
  </si>
  <si>
    <t xml:space="preserve">From your Gulf database (row ID 46)</t>
  </si>
  <si>
    <t xml:space="preserve">Gulf University for Science and Technology (GUST)</t>
  </si>
  <si>
    <t xml:space="preserve">Startup Lab</t>
  </si>
  <si>
    <t xml:space="preserve">GUST Startup Lab Team</t>
  </si>
  <si>
    <t xml:space="preserve">https://www.gust.edu.kw/sdg/sdg4/4-3/4-3-1</t>
  </si>
  <si>
    <t xml:space="preserve">From your Gulf database (row ID 49)</t>
  </si>
  <si>
    <t xml:space="preserve">American University of the Middle East (AUM)</t>
  </si>
  <si>
    <t xml:space="preserve">AI &amp; Entrepreneurship / MBA ecosystem</t>
  </si>
  <si>
    <t xml:space="preserve">AUM Team</t>
  </si>
  <si>
    <t xml:space="preserve">info@aum.edu.kw</t>
  </si>
  <si>
    <t xml:space="preserve">Skipped: Only general info/admissions inboxes</t>
  </si>
  <si>
    <t xml:space="preserve">https://www.aum.edu.kw/english/about-aum/international-relations/aum---uc-berkeley-certification-program-in-ai-and-entrepreneurship</t>
  </si>
  <si>
    <t xml:space="preserve">From your Gulf database (row ID 50)</t>
  </si>
  <si>
    <t xml:space="preserve">Acceleration Programs</t>
  </si>
  <si>
    <t xml:space="preserve">Ameera Mohamed</t>
  </si>
  <si>
    <t xml:space="preserve">Skipped: Bahrain FinTech Bay covered by one email to same inbox</t>
  </si>
  <si>
    <t xml:space="preserve">From your Gulf database (row ID 59)</t>
  </si>
  <si>
    <t xml:space="preserve">Hope Ventures</t>
  </si>
  <si>
    <t xml:space="preserve">Beban / venture ecosystem</t>
  </si>
  <si>
    <t xml:space="preserve">Latifa Mohammed</t>
  </si>
  <si>
    <t xml:space="preserve">https://www.hopefund.bh/</t>
  </si>
  <si>
    <t xml:space="preserve">From your Gulf database (row ID 61)</t>
  </si>
  <si>
    <t xml:space="preserve">https://www.polytechnic.bh/startup-demo-day-2026/</t>
  </si>
  <si>
    <t xml:space="preserve">From your Gulf database (row ID 63)</t>
  </si>
  <si>
    <t xml:space="preserve">University of Technology Bahrain (UTB)</t>
  </si>
  <si>
    <t xml:space="preserve">Innovation &amp; industry partnership ecosystem</t>
  </si>
  <si>
    <t xml:space="preserve">UTB Team</t>
  </si>
  <si>
    <t xml:space="preserve">info@utb.edu.bh</t>
  </si>
  <si>
    <t xml:space="preserve">Skipped: Only a general university info inbox</t>
  </si>
  <si>
    <t xml:space="preserve">https://www.utb.edu.bh/partner-with-us/</t>
  </si>
  <si>
    <t xml:space="preserve">From your Gulf database (row ID 64)</t>
  </si>
  <si>
    <t xml:space="preserve">Brinc / Batelco</t>
  </si>
  <si>
    <t xml:space="preserve">Brinc Batelco IoT Hub</t>
  </si>
  <si>
    <t xml:space="preserve">Brinc Bahrain Team</t>
  </si>
  <si>
    <t xml:space="preserve">https://web.brinc.io/brinc-batelco-iot-hub/</t>
  </si>
  <si>
    <t xml:space="preserve">From your Gulf database (row ID 65)</t>
  </si>
  <si>
    <t xml:space="preserve">apply.taqadam@kaust.edu.sa</t>
  </si>
  <si>
    <t xml:space="preserve">External Mentor for TAQADAM Accelerator</t>
  </si>
  <si>
    <t xml:space="preserve">Follow up after Entrepreneurship Center auto reply</t>
  </si>
  <si>
    <t xml:space="preserve">KAUST EC auto reply 26 Sep 2026</t>
  </si>
  <si>
    <t xml:space="preserve">draft r9197613090708152842; sent by Madhi 08:31; TAQADAM replied 08:35 (interest noted); Madhi replied with resume 08:38</t>
  </si>
  <si>
    <t xml:space="preserve">TAQADAM noted your experience; asked for resume as PDF; you sent details (26 Sep)</t>
  </si>
  <si>
    <t xml:space="preserve">Southeast Asia</t>
  </si>
  <si>
    <t xml:space="preserve">Thailand</t>
  </si>
  <si>
    <t xml:space="preserve">University Incubator / Innovation</t>
  </si>
  <si>
    <t xml:space="preserve">Chulalongkorn University</t>
  </si>
  <si>
    <t xml:space="preserve">CU Innovation Hub</t>
  </si>
  <si>
    <t xml:space="preserve">Asst. Prof. Dr. Thititip Tippayamontri</t>
  </si>
  <si>
    <t xml:space="preserve">cu.ihub@chula.ac.th</t>
  </si>
  <si>
    <t xml:space="preserve">Category areas</t>
  </si>
  <si>
    <t xml:space="preserve">https://cuihub.chula.ac.th/contact/</t>
  </si>
  <si>
    <t xml:space="preserve">From your SEA database (row ID 1); draft r-1571432446044816448</t>
  </si>
  <si>
    <t xml:space="preserve">King Mongkut's Institute of Technology Ladkrabang (KMITL)</t>
  </si>
  <si>
    <t xml:space="preserve">KMITL Startup Hub</t>
  </si>
  <si>
    <t xml:space="preserve">KMITL Startup Hub Team</t>
  </si>
  <si>
    <t xml:space="preserve">startuphub@kmitl.ac.th</t>
  </si>
  <si>
    <t xml:space="preserve">https://startuphub.kmitl.ac.th/contact-us/</t>
  </si>
  <si>
    <t xml:space="preserve">From your SEA database (row ID 2); draft r-9136140402961024813</t>
  </si>
  <si>
    <t xml:space="preserve">King Mongkut's University of Technology Thonburi (KMUTT)</t>
  </si>
  <si>
    <t xml:space="preserve">Hatch – KMUTT Entrepreneurship</t>
  </si>
  <si>
    <t xml:space="preserve">Ms. Anjira Assavanonda</t>
  </si>
  <si>
    <t xml:space="preserve">anjira.ass@mail.kmutt.ac.th; cc hello@hatch.kmutt.ac.th</t>
  </si>
  <si>
    <t xml:space="preserve">https://www.kmutt.ac.th/en/research/research-service/</t>
  </si>
  <si>
    <t xml:space="preserve">From your SEA database (row ID 3); draft r-7001143484190622290</t>
  </si>
  <si>
    <t xml:space="preserve">Thammasat University</t>
  </si>
  <si>
    <t xml:space="preserve">Center of Intellectual Property and Business Incubator</t>
  </si>
  <si>
    <t xml:space="preserve">Asst. Prof. Dr. Borwarnluck Thongthawee</t>
  </si>
  <si>
    <t xml:space="preserve">thammasatsat@gmail.com</t>
  </si>
  <si>
    <t xml:space="preserve">https://sat.tu.ac.th/person.php?lang=en</t>
  </si>
  <si>
    <t xml:space="preserve">From your SEA database (row ID 6); draft r882566087621795037</t>
  </si>
  <si>
    <t xml:space="preserve">University Innovation / Incubator</t>
  </si>
  <si>
    <t xml:space="preserve">Kasetsart University – Faculty of Agro-Industry</t>
  </si>
  <si>
    <t xml:space="preserve">Agro-Industry Innovation Platform (AIIP)</t>
  </si>
  <si>
    <t xml:space="preserve">AIIP Team</t>
  </si>
  <si>
    <t xml:space="preserve">aiip@ku.ac.th</t>
  </si>
  <si>
    <t xml:space="preserve">https://aiip.agro.ku.ac.th/</t>
  </si>
  <si>
    <t xml:space="preserve">From your SEA database (row ID 10); draft r928487473772370738</t>
  </si>
  <si>
    <t xml:space="preserve">B-School / Entrepreneurship</t>
  </si>
  <si>
    <t xml:space="preserve">National Institute of Development Administration (NIDA)</t>
  </si>
  <si>
    <t xml:space="preserve">Business Innovation Center (CBI)</t>
  </si>
  <si>
    <t xml:space="preserve">CBI Team</t>
  </si>
  <si>
    <t xml:space="preserve">cbi@nida.ac.th</t>
  </si>
  <si>
    <t xml:space="preserve">https://cbi.nida.ac.th/th/cbi/contact</t>
  </si>
  <si>
    <t xml:space="preserve">From your SEA database (row ID 11); draft r3782272263243921339</t>
  </si>
  <si>
    <t xml:space="preserve">University Incubator / Entrepreneurship</t>
  </si>
  <si>
    <t xml:space="preserve">Asian Institute of Technology (AIT)</t>
  </si>
  <si>
    <t xml:space="preserve">AIT Entrepreneurship Center</t>
  </si>
  <si>
    <t xml:space="preserve">AIT Entrepreneurship Center Team</t>
  </si>
  <si>
    <t xml:space="preserve">ec@ait.ac.th</t>
  </si>
  <si>
    <t xml:space="preserve">https://ait.ac.th/centre/ait-entrepreneurship-center/</t>
  </si>
  <si>
    <t xml:space="preserve">From your SEA database (row ID 12); draft r-1830445044457564539</t>
  </si>
  <si>
    <t xml:space="preserve">Government / National Startup Agency</t>
  </si>
  <si>
    <t xml:space="preserve">Digital Economy Promotion Agency (depa)</t>
  </si>
  <si>
    <t xml:space="preserve">Digital Startup Institute</t>
  </si>
  <si>
    <t xml:space="preserve">Kasama Kongsmak</t>
  </si>
  <si>
    <t xml:space="preserve">kasama.ko@depa.or.th</t>
  </si>
  <si>
    <t xml:space="preserve">https://www.depa.or.th/en/management-team</t>
  </si>
  <si>
    <t xml:space="preserve">From your SEA database (row ID 16); draft r9199979914804134883</t>
  </si>
  <si>
    <t xml:space="preserve">Government / Incubator</t>
  </si>
  <si>
    <t xml:space="preserve">NSTDA</t>
  </si>
  <si>
    <t xml:space="preserve">Business Incubation Center (BIC)</t>
  </si>
  <si>
    <t xml:space="preserve">NSTDA BIC Team</t>
  </si>
  <si>
    <t xml:space="preserve">bic@nstda.or.th</t>
  </si>
  <si>
    <t xml:space="preserve">https://www.nstda.or.th/bic/contactus</t>
  </si>
  <si>
    <t xml:space="preserve">From your SEA database (row ID 17); draft r-4227908703528859837</t>
  </si>
  <si>
    <t xml:space="preserve">Food Innopolis – NSTDA</t>
  </si>
  <si>
    <t xml:space="preserve">Food Innovation Accelerator</t>
  </si>
  <si>
    <t xml:space="preserve">Food Innopolis Team</t>
  </si>
  <si>
    <t xml:space="preserve">bd@foodinnopolis.or.th</t>
  </si>
  <si>
    <t xml:space="preserve">https://www.foodinnopolis.or.th/en/contact-us/</t>
  </si>
  <si>
    <t xml:space="preserve">From your SEA database (row ID 20); draft r-4092005958637348217</t>
  </si>
  <si>
    <t xml:space="preserve">Startup Hub / Accelerator</t>
  </si>
  <si>
    <t xml:space="preserve">True Digital Park</t>
  </si>
  <si>
    <t xml:space="preserve">Startup &amp; Tech Ecosystem</t>
  </si>
  <si>
    <t xml:space="preserve">True Digital Park Team</t>
  </si>
  <si>
    <t xml:space="preserve">hello@truedigitalpark.com; cc community@truedigitalpark.com</t>
  </si>
  <si>
    <t xml:space="preserve">https://www.truedigitalpark.com/en/about/contact-us</t>
  </si>
  <si>
    <t xml:space="preserve">From your SEA database (row ID 21); draft r502967954272642643</t>
  </si>
  <si>
    <t xml:space="preserve">Accelerator / Corporate Innovation</t>
  </si>
  <si>
    <t xml:space="preserve">RISE</t>
  </si>
  <si>
    <t xml:space="preserve">Corporate Innovation Powerhouse</t>
  </si>
  <si>
    <t xml:space="preserve">RISE Team</t>
  </si>
  <si>
    <t xml:space="preserve">hello@riseaccel.com</t>
  </si>
  <si>
    <t xml:space="preserve">https://www.riseaccel.com/contact-us</t>
  </si>
  <si>
    <t xml:space="preserve">From your SEA database (row ID 22); draft r-7904259988555557901</t>
  </si>
  <si>
    <t xml:space="preserve">Ecosystem Platform / Accelerator</t>
  </si>
  <si>
    <t xml:space="preserve">Techsauce</t>
  </si>
  <si>
    <t xml:space="preserve">Thailand Accelerator / Ecosystem Platform</t>
  </si>
  <si>
    <t xml:space="preserve">Oranuch Lerdsuwankij</t>
  </si>
  <si>
    <t xml:space="preserve">contact@techsauce.co</t>
  </si>
  <si>
    <t xml:space="preserve">https://services.techsauce.co/</t>
  </si>
  <si>
    <t xml:space="preserve">From your SEA database (row ID 23); draft r6134281265895410706</t>
  </si>
  <si>
    <t xml:space="preserve">SPACE-F</t>
  </si>
  <si>
    <t xml:space="preserve">FoodTech Incubator &amp; Accelerator</t>
  </si>
  <si>
    <t xml:space="preserve">SPACE-F Team</t>
  </si>
  <si>
    <t xml:space="preserve">contact@space-f.co</t>
  </si>
  <si>
    <t xml:space="preserve">https://www.space-f.co/contact-us</t>
  </si>
  <si>
    <t xml:space="preserve">From your SEA database (row ID 24); draft r-7877847026170379858</t>
  </si>
  <si>
    <t xml:space="preserve">Corporate VC / Accelerator</t>
  </si>
  <si>
    <t xml:space="preserve">Krungsri Finnovate</t>
  </si>
  <si>
    <t xml:space="preserve">Startup &amp; Corporate Innovation</t>
  </si>
  <si>
    <t xml:space="preserve">Krungsri Finnovate Team</t>
  </si>
  <si>
    <t xml:space="preserve">finnovate@krungsri.com</t>
  </si>
  <si>
    <t xml:space="preserve">https://www.krungsrifinnovate.com/en/contact-us</t>
  </si>
  <si>
    <t xml:space="preserve">From your SEA database (row ID 25); draft r7000597814683700734</t>
  </si>
  <si>
    <t xml:space="preserve">Ecosystem Association</t>
  </si>
  <si>
    <t xml:space="preserve">Thai-BISPA</t>
  </si>
  <si>
    <t xml:space="preserve">Thai Business Incubators and Science Parks Association</t>
  </si>
  <si>
    <t xml:space="preserve">Thai-BISPA Team</t>
  </si>
  <si>
    <t xml:space="preserve">info@thaibispa.or.th</t>
  </si>
  <si>
    <t xml:space="preserve">https://www.thaibispa.or.th/</t>
  </si>
  <si>
    <t xml:space="preserve">From your SEA database (row ID 30); draft r5294636130988066164</t>
  </si>
  <si>
    <t xml:space="preserve">Malaysia</t>
  </si>
  <si>
    <t xml:space="preserve">Cradle Fund</t>
  </si>
  <si>
    <t xml:space="preserve">National Startup Ecosystem / Grants</t>
  </si>
  <si>
    <t xml:space="preserve">Cradle Fund Team</t>
  </si>
  <si>
    <t xml:space="preserve">enquiries@cradle.com.my; cc mystartup@cradle.com.my</t>
  </si>
  <si>
    <t xml:space="preserve">https://www.cradle.com.my/contact-us/</t>
  </si>
  <si>
    <t xml:space="preserve">From your SEA database (row ID 32); draft r2671593106532608204</t>
  </si>
  <si>
    <t xml:space="preserve">Government / Innovation Agency</t>
  </si>
  <si>
    <t xml:space="preserve">Malaysian Research Accelerator for Technology &amp; Innovation (MRANTI)</t>
  </si>
  <si>
    <t xml:space="preserve">Innovation, Commercialisation &amp; Expert Ecosystem</t>
  </si>
  <si>
    <t xml:space="preserve">MRANTI Team</t>
  </si>
  <si>
    <t xml:space="preserve">hello@mranti.my</t>
  </si>
  <si>
    <t xml:space="preserve">https://mranti.my/contact</t>
  </si>
  <si>
    <t xml:space="preserve">From your SEA database (row ID 34); draft r634424128170684769</t>
  </si>
  <si>
    <t xml:space="preserve">Government / Innovation Hub</t>
  </si>
  <si>
    <t xml:space="preserve">Cyberview</t>
  </si>
  <si>
    <t xml:space="preserve">Cyberview Living Lab</t>
  </si>
  <si>
    <t xml:space="preserve">Cyberview Innovation Team</t>
  </si>
  <si>
    <t xml:space="preserve">cisc@cyberview.com.my</t>
  </si>
  <si>
    <t xml:space="preserve">https://www.cyberview.com.my/business/cyberview-living-lab/</t>
  </si>
  <si>
    <t xml:space="preserve">From your SEA database (row ID 37); draft r9144536566136846887</t>
  </si>
  <si>
    <t xml:space="preserve">Universiti Malaya</t>
  </si>
  <si>
    <t xml:space="preserve">UM Centre of Innovation and Enterprise (UMCIE)</t>
  </si>
  <si>
    <t xml:space="preserve">UMCIE Team</t>
  </si>
  <si>
    <t xml:space="preserve">umcie@um.edu.my</t>
  </si>
  <si>
    <t xml:space="preserve">https://umcie.um.edu.my/</t>
  </si>
  <si>
    <t xml:space="preserve">From your SEA database (row ID 39); draft r-5572792300250571909</t>
  </si>
  <si>
    <t xml:space="preserve">University Entrepreneurship</t>
  </si>
  <si>
    <t xml:space="preserve">Universiti Teknologi Malaysia</t>
  </si>
  <si>
    <t xml:space="preserve">UTMXCITE</t>
  </si>
  <si>
    <t xml:space="preserve">UTMXCITE Team</t>
  </si>
  <si>
    <t xml:space="preserve">utmxcite@utm.my</t>
  </si>
  <si>
    <t xml:space="preserve">https://xcite.utm.my/index.php/entrepreneurship/</t>
  </si>
  <si>
    <t xml:space="preserve">From your SEA database (row ID 41); draft r-7205938627250859405</t>
  </si>
  <si>
    <t xml:space="preserve">Universiti Putra Malaysia</t>
  </si>
  <si>
    <t xml:space="preserve">Putra Science Park – INNOHUB</t>
  </si>
  <si>
    <t xml:space="preserve">Dr. Nur Fadhilah Khairil Mokhtar</t>
  </si>
  <si>
    <t xml:space="preserve">nuradhilah@upm.edu.my</t>
  </si>
  <si>
    <t xml:space="preserve">https://sciencepark.upm.edu.my/</t>
  </si>
  <si>
    <t xml:space="preserve">From your SEA database (row ID 44); draft r-7876038175696947124</t>
  </si>
  <si>
    <t xml:space="preserve">Universiti Kebangsaan Malaysia</t>
  </si>
  <si>
    <t xml:space="preserve">UKM-CESMED</t>
  </si>
  <si>
    <t xml:space="preserve">UKM-CESMED Team</t>
  </si>
  <si>
    <t xml:space="preserve">pghcesmed@ukm.edu.my</t>
  </si>
  <si>
    <t xml:space="preserve">https://www.ukm.my/cesmed/hubungi-kami/</t>
  </si>
  <si>
    <t xml:space="preserve">From your SEA database (row ID 45); draft r-4340715030096459461</t>
  </si>
  <si>
    <t xml:space="preserve">University Entrepreneurship / Incubator</t>
  </si>
  <si>
    <t xml:space="preserve">Universiti Teknologi MARA (UiTM)</t>
  </si>
  <si>
    <t xml:space="preserve">MASMED – Malaysian Academy of SME &amp; Entrepreneurship Development</t>
  </si>
  <si>
    <t xml:space="preserve">Assoc. Prof. Dr. Badrul Bin Isa</t>
  </si>
  <si>
    <t xml:space="preserve">badru010@uitm.edu.my; cc masmed@uitm.edu.my</t>
  </si>
  <si>
    <t xml:space="preserve">https://masmed.uitm.edu.my/index.php/masmed-uitm/staff-directory</t>
  </si>
  <si>
    <t xml:space="preserve">From your SEA database (row ID 46); draft r4739881429621958793</t>
  </si>
  <si>
    <t xml:space="preserve">Taylor's University</t>
  </si>
  <si>
    <t xml:space="preserve">BizPod</t>
  </si>
  <si>
    <t xml:space="preserve">BizPod Team</t>
  </si>
  <si>
    <t xml:space="preserve">bizpod@taylors.edu.my</t>
  </si>
  <si>
    <t xml:space="preserve">https://university.taylors.edu.my/en/student-life/campus-facilities/bizpod/support-and-resources/mentors.html</t>
  </si>
  <si>
    <t xml:space="preserve">From your SEA database (row ID 48); draft r-769723900991676470</t>
  </si>
  <si>
    <t xml:space="preserve">University Accelerator / Innovation</t>
  </si>
  <si>
    <t xml:space="preserve">Sunway University / Sunway Group</t>
  </si>
  <si>
    <t xml:space="preserve">Sunway iLabs</t>
  </si>
  <si>
    <t xml:space="preserve">Matt van Leeuwen</t>
  </si>
  <si>
    <t xml:space="preserve">sunwayilabs@sunway.com.my</t>
  </si>
  <si>
    <t xml:space="preserve">https://innovationlabs.sunway.edu.my/launchx/</t>
  </si>
  <si>
    <t xml:space="preserve">From your SEA database (row ID 49); draft r6082992007466153024</t>
  </si>
  <si>
    <t xml:space="preserve">Multimedia University (MMU)</t>
  </si>
  <si>
    <t xml:space="preserve">Alumni Engagement, Career &amp; Entrepreneurship Development / EDC</t>
  </si>
  <si>
    <t xml:space="preserve">Assoc. Prof. Dr. Ong Jeen Wei</t>
  </si>
  <si>
    <t xml:space="preserve">jwong@mmu.edu.my; cc edc@mmu.edu.my</t>
  </si>
  <si>
    <t xml:space="preserve">https://www.mmu.edu.my/leadership/</t>
  </si>
  <si>
    <t xml:space="preserve">From your SEA database (row ID 52); draft r-4023191413410694530</t>
  </si>
  <si>
    <t xml:space="preserve">Universiti Kuala Lumpur (UniKL)</t>
  </si>
  <si>
    <t xml:space="preserve">Teknoputra Division</t>
  </si>
  <si>
    <t xml:space="preserve">Dr. Muhammad Najib Seth</t>
  </si>
  <si>
    <t xml:space="preserve">mnajibs@unikl.edu.my; cc teknoputra@unikl.edu.my</t>
  </si>
  <si>
    <t xml:space="preserve">https://teknoputra.unikl.edu.my/contact/</t>
  </si>
  <si>
    <t xml:space="preserve">From your SEA database (row ID 53); draft r-7169593405931053064</t>
  </si>
  <si>
    <t xml:space="preserve">University Entrepreneurship / Innovation</t>
  </si>
  <si>
    <t xml:space="preserve">Monash University Malaysia</t>
  </si>
  <si>
    <t xml:space="preserve">Entrepreneurship &amp; Innovation Hub (eiHub)</t>
  </si>
  <si>
    <t xml:space="preserve">Monash Malaysia Entrepreneurship Team</t>
  </si>
  <si>
    <t xml:space="preserve">mum-entrepreneurship@monash.edu</t>
  </si>
  <si>
    <t xml:space="preserve">https://www.monash.edu.my/business/engage-with-us/entrepreneurship/start-up-bootcamp</t>
  </si>
  <si>
    <t xml:space="preserve">From your SEA database (row ID 54); draft r5291706679452482046</t>
  </si>
  <si>
    <t xml:space="preserve">Universiti Utara Malaysia</t>
  </si>
  <si>
    <t xml:space="preserve">Co-operative and Entrepreneurship Development Institute (CEDI)</t>
  </si>
  <si>
    <t xml:space="preserve">Dr. Jauriyah Shamsuddin</t>
  </si>
  <si>
    <t xml:space="preserve">jauriyah@uum.edu.my</t>
  </si>
  <si>
    <t xml:space="preserve">https://www.uum.edu.my/research/centre-of-excellence-coe-2</t>
  </si>
  <si>
    <t xml:space="preserve">From your SEA database (row ID 55); draft r64382330315207286</t>
  </si>
  <si>
    <t xml:space="preserve">University Innovation / Commercialisation</t>
  </si>
  <si>
    <t xml:space="preserve">Universiti Sains Malaysia</t>
  </si>
  <si>
    <t xml:space="preserve">Innovations &amp; Commercialisations Office</t>
  </si>
  <si>
    <t xml:space="preserve">innovations@usm.my</t>
  </si>
  <si>
    <t xml:space="preserve">https://ipcms.usm.my/</t>
  </si>
  <si>
    <t xml:space="preserve">From your SEA database (row ID 56); draft r8410126001696489405</t>
  </si>
  <si>
    <t xml:space="preserve">Universiti Malaysia Sabah</t>
  </si>
  <si>
    <t xml:space="preserve">Entrepreneurship Research and Development Unit (UPPK)</t>
  </si>
  <si>
    <t xml:space="preserve">UPPK Team</t>
  </si>
  <si>
    <t xml:space="preserve">uppkfpep@ums.edu.my</t>
  </si>
  <si>
    <t xml:space="preserve">https://www.ums.edu.my/fpep/index.php/researches/units-centres/entrepreneurship-research-and-development-unit-uppk</t>
  </si>
  <si>
    <t xml:space="preserve">From your SEA database (row ID 57); draft r-7862651578144106555</t>
  </si>
  <si>
    <t xml:space="preserve">Universiti Malaysia Sarawak (UNIMAS)</t>
  </si>
  <si>
    <t xml:space="preserve">Faculty of Economics &amp; Business – Entrepreneurship</t>
  </si>
  <si>
    <t xml:space="preserve">Dr. Muhammad Asraf Bin Abdullah</t>
  </si>
  <si>
    <t xml:space="preserve">amasraf@unimas.my</t>
  </si>
  <si>
    <t xml:space="preserve">https://www.postgrad.unimas.my/index.php/research-overview</t>
  </si>
  <si>
    <t xml:space="preserve">From your SEA database (row ID 58); draft r-7684922624195598215</t>
  </si>
  <si>
    <t xml:space="preserve">Accelerator / VC</t>
  </si>
  <si>
    <t xml:space="preserve">1337 Ventures</t>
  </si>
  <si>
    <t xml:space="preserve">Alpha Startups / Venture Programs</t>
  </si>
  <si>
    <t xml:space="preserve">1337 Ventures Team</t>
  </si>
  <si>
    <t xml:space="preserve">info@1337.ventures</t>
  </si>
  <si>
    <t xml:space="preserve">https://1337.ventures/contact/</t>
  </si>
  <si>
    <t xml:space="preserve">From your SEA database (row ID 61); draft r-2745616324873425290</t>
  </si>
  <si>
    <t xml:space="preserve">Accelerator / Venture Builder</t>
  </si>
  <si>
    <t xml:space="preserve">BEYOND4</t>
  </si>
  <si>
    <t xml:space="preserve">Accelerator / Innovation Programs</t>
  </si>
  <si>
    <t xml:space="preserve">Intan</t>
  </si>
  <si>
    <t xml:space="preserve">intan@beyond4.tech</t>
  </si>
  <si>
    <t xml:space="preserve">https://beyond4.tech/</t>
  </si>
  <si>
    <t xml:space="preserve">From your SEA database (row ID 62); draft r-1983272961255417377</t>
  </si>
  <si>
    <t xml:space="preserve">Singapore</t>
  </si>
  <si>
    <t xml:space="preserve">Ecosystem Association / Incubator</t>
  </si>
  <si>
    <t xml:space="preserve">ACE.SG</t>
  </si>
  <si>
    <t xml:space="preserve">ACE.SG Incubator</t>
  </si>
  <si>
    <t xml:space="preserve">Vee Gee</t>
  </si>
  <si>
    <t xml:space="preserve">veegee@ace.sg</t>
  </si>
  <si>
    <t xml:space="preserve">https://ace.glueup.com/event/ace-sg-incubator-july-2026-cohort-173955/</t>
  </si>
  <si>
    <t xml:space="preserve">From your SEA database (row ID 70); draft r-3454697806813872794</t>
  </si>
  <si>
    <t xml:space="preserve">Government / Digital Innovation</t>
  </si>
  <si>
    <t xml:space="preserve">IMDA</t>
  </si>
  <si>
    <t xml:space="preserve">PIXEL Innovation Hub</t>
  </si>
  <si>
    <t xml:space="preserve">PIXEL Team</t>
  </si>
  <si>
    <t xml:space="preserve">pixel@imda.gov.sg; cc open_innovation@imda.gov.sg</t>
  </si>
  <si>
    <t xml:space="preserve">https://pixel.imda.gov.sg/connect/contact-us/</t>
  </si>
  <si>
    <t xml:space="preserve">From your SEA database (row ID 71); draft r5338433937342925231</t>
  </si>
  <si>
    <t xml:space="preserve">National University of Singapore</t>
  </si>
  <si>
    <t xml:space="preserve">NUS Enterprise</t>
  </si>
  <si>
    <t xml:space="preserve">NUS Enterprise Team</t>
  </si>
  <si>
    <t xml:space="preserve">enterprise@nus.edu.sg</t>
  </si>
  <si>
    <t xml:space="preserve">https://enterprise.nus.edu.sg/contact-us/</t>
  </si>
  <si>
    <t xml:space="preserve">From your SEA database (row ID 75); draft r2339076401636122214</t>
  </si>
  <si>
    <t xml:space="preserve">University Incubator / Global Network</t>
  </si>
  <si>
    <t xml:space="preserve">BLOCK71 Singapore</t>
  </si>
  <si>
    <t xml:space="preserve">BLOCK71 Singapore Team</t>
  </si>
  <si>
    <t xml:space="preserve">info@block71.co; cc singapore@block71.co</t>
  </si>
  <si>
    <t xml:space="preserve">https://enterprise.nus.edu.sg/supporting-entrepreneurs/block71-global-incubation/</t>
  </si>
  <si>
    <t xml:space="preserve">From your SEA database (row ID 76); draft r-2248690570547926285</t>
  </si>
  <si>
    <t xml:space="preserve">University Venture Building</t>
  </si>
  <si>
    <t xml:space="preserve">Nanyang Technological University</t>
  </si>
  <si>
    <t xml:space="preserve">Startup Pathway / NTUitive Venture Builders</t>
  </si>
  <si>
    <t xml:space="preserve">Kat Neo</t>
  </si>
  <si>
    <t xml:space="preserve">kat.neo@ntu.edu.sg; cc ntuitive-ventures@ntu.edu.sg</t>
  </si>
  <si>
    <t xml:space="preserve">https://www.ntu.edu.sg/innovates/startup-pathway</t>
  </si>
  <si>
    <t xml:space="preserve">From your SEA database (row ID 79); draft r7313691615192899319</t>
  </si>
  <si>
    <t xml:space="preserve">Singapore Management University</t>
  </si>
  <si>
    <t xml:space="preserve">Institute of Innovation &amp; Entrepreneurship (IIE)</t>
  </si>
  <si>
    <t xml:space="preserve">Koh Foo Hau</t>
  </si>
  <si>
    <t xml:space="preserve">iie@smu.edu.sg</t>
  </si>
  <si>
    <t xml:space="preserve">https://iie.smu.edu.sg/contact</t>
  </si>
  <si>
    <t xml:space="preserve">From your SEA database (row ID 81); draft r-470679312594994790</t>
  </si>
  <si>
    <t xml:space="preserve">University Venture / Incubator</t>
  </si>
  <si>
    <t xml:space="preserve">Singapore University of Technology and Design</t>
  </si>
  <si>
    <t xml:space="preserve">Venture, Innovation &amp; Entrepreneurship (VIE)</t>
  </si>
  <si>
    <t xml:space="preserve">SUTD VIE Team</t>
  </si>
  <si>
    <t xml:space="preserve">entrepreneurship@sutd.edu.sg</t>
  </si>
  <si>
    <t xml:space="preserve">https://www.sutd.edu.sg/enterprise/venture-innovation-entrepreneurship</t>
  </si>
  <si>
    <t xml:space="preserve">From your SEA database (row ID 82); draft r-3031872144618697398</t>
  </si>
  <si>
    <t xml:space="preserve">Singapore University of Social Sciences</t>
  </si>
  <si>
    <t xml:space="preserve">SUSS Entrepreneurship</t>
  </si>
  <si>
    <t xml:space="preserve">SUSS Entrepreneurship Team</t>
  </si>
  <si>
    <t xml:space="preserve">entrepreneurship@suss.edu.sg</t>
  </si>
  <si>
    <t xml:space="preserve">https://www.suss.edu.sg/life-at-suss/student-experiences/entrepreneurship</t>
  </si>
  <si>
    <t xml:space="preserve">From your SEA database (row ID 83); draft r-807651172005795209</t>
  </si>
  <si>
    <t xml:space="preserve">Singapore Institute of Technology</t>
  </si>
  <si>
    <t xml:space="preserve">Technology Transfer Office / Innovation Hub</t>
  </si>
  <si>
    <t xml:space="preserve">SIT Technology Transfer Office</t>
  </si>
  <si>
    <t xml:space="preserve">techtransfer@singaporetech.edu.sg</t>
  </si>
  <si>
    <t xml:space="preserve">https://www.singaporetech.edu.sg/collaborate/contact-us</t>
  </si>
  <si>
    <t xml:space="preserve">From your SEA database (row ID 84); draft r8121134607793641407</t>
  </si>
  <si>
    <t xml:space="preserve">Accelerating Asia Ventures</t>
  </si>
  <si>
    <t xml:space="preserve">Accelerating Asia Team</t>
  </si>
  <si>
    <t xml:space="preserve">team@acceleratingasia.com</t>
  </si>
  <si>
    <t xml:space="preserve">https://www.acceleratingasia.com/</t>
  </si>
  <si>
    <t xml:space="preserve">From your SEA database (row ID 88); draft r3589751124417877947</t>
  </si>
  <si>
    <t xml:space="preserve">Accelerator / Innovation Platform</t>
  </si>
  <si>
    <t xml:space="preserve">Tribe</t>
  </si>
  <si>
    <t xml:space="preserve">Tribe Accelerator</t>
  </si>
  <si>
    <t xml:space="preserve">Yi Ming Ng</t>
  </si>
  <si>
    <t xml:space="preserve">hello@tribe.sg</t>
  </si>
  <si>
    <t xml:space="preserve">https://www.tribe.sg/contact/</t>
  </si>
  <si>
    <t xml:space="preserve">From your SEA database (row ID 89); draft r680178790015037940</t>
  </si>
  <si>
    <t xml:space="preserve">Venture Builder / Deep Tech</t>
  </si>
  <si>
    <t xml:space="preserve">Origgin Ventures</t>
  </si>
  <si>
    <t xml:space="preserve">Venture Co-Creation / Deep-Tech Commercialisation</t>
  </si>
  <si>
    <t xml:space="preserve">Origgin Team</t>
  </si>
  <si>
    <t xml:space="preserve">enquiry@origgin.com</t>
  </si>
  <si>
    <t xml:space="preserve">https://www.origgin.com/about</t>
  </si>
  <si>
    <t xml:space="preserve">From your SEA database (row ID 90); draft r3932244201392092056</t>
  </si>
  <si>
    <t xml:space="preserve">Founder Program / VC</t>
  </si>
  <si>
    <t xml:space="preserve">Entrepreneur First</t>
  </si>
  <si>
    <t xml:space="preserve">Singapore / Asia Founder Programs</t>
  </si>
  <si>
    <t xml:space="preserve">Entrepreneur First Partnerships Team</t>
  </si>
  <si>
    <t xml:space="preserve">partnerships@joinef.com</t>
  </si>
  <si>
    <t xml:space="preserve">https://www.joinef.com/contact/</t>
  </si>
  <si>
    <t xml:space="preserve">From your SEA database (row ID 92); draft r2991345028497346119</t>
  </si>
  <si>
    <t xml:space="preserve">Ecosystem / Innovation</t>
  </si>
  <si>
    <t xml:space="preserve">Singapore Business Federation</t>
  </si>
  <si>
    <t xml:space="preserve">GlobalConnect@SBF</t>
  </si>
  <si>
    <t xml:space="preserve">GlobalConnect@SBF Team</t>
  </si>
  <si>
    <t xml:space="preserve">globalconnect@sbf.org.sg</t>
  </si>
  <si>
    <t xml:space="preserve">https://www.enterprisesg.gov.sg/about-us/contact-us</t>
  </si>
  <si>
    <t xml:space="preserve">From your SEA database (row ID 97); draft r6640664948691580872</t>
  </si>
  <si>
    <t xml:space="preserve">Ticket SBF087721 opened; they may ask for more details</t>
  </si>
  <si>
    <t xml:space="preserve">KX Knowledge Xchange / KX Innovation</t>
  </si>
  <si>
    <t xml:space="preserve">KX Innovation Team</t>
  </si>
  <si>
    <t xml:space="preserve">contact@kxinnovation.com</t>
  </si>
  <si>
    <t xml:space="preserve">Skipped: KMUTT covered via Hatch email</t>
  </si>
  <si>
    <t xml:space="preserve">https://www.kmutt.ac.th/en/service-partnership/kx-innovation/</t>
  </si>
  <si>
    <t xml:space="preserve">From your SEA database (row ID 4)</t>
  </si>
  <si>
    <t xml:space="preserve">Technology Transfer Office</t>
  </si>
  <si>
    <t xml:space="preserve">Dr. Amornrat Watthanalamloet</t>
  </si>
  <si>
    <t xml:space="preserve">tto@kmutt.ac.th</t>
  </si>
  <si>
    <t xml:space="preserve">From your SEA database (row ID 5)</t>
  </si>
  <si>
    <t xml:space="preserve">Mahidol University</t>
  </si>
  <si>
    <t xml:space="preserve">Institute for Technology and Innovation Management / Innovation &amp; Entrepreneurship Ecosystem</t>
  </si>
  <si>
    <t xml:space="preserve">Mahidol iNT Team</t>
  </si>
  <si>
    <t xml:space="preserve">https://murex.mahidol.ac.th/en/persons/thunnalin-winuprasith/</t>
  </si>
  <si>
    <t xml:space="preserve">From your SEA database (row ID 7)</t>
  </si>
  <si>
    <t xml:space="preserve">Mahidol University – Faculty of ICT</t>
  </si>
  <si>
    <t xml:space="preserve">ICT Research Center for Innovation and Technology Transfer</t>
  </si>
  <si>
    <t xml:space="preserve">Miss Bang-Orn Kornwirat</t>
  </si>
  <si>
    <t xml:space="preserve">ict@mahidol.ac.th</t>
  </si>
  <si>
    <t xml:space="preserve">Skipped: Only a general faculty inbox</t>
  </si>
  <si>
    <t xml:space="preserve">https://www.ict.mahidol.ac.th/en/people/ict-research-center-for-innovation-and-technology-transfer/</t>
  </si>
  <si>
    <t xml:space="preserve">From your SEA database (row ID 8)</t>
  </si>
  <si>
    <t xml:space="preserve">Kasetsart University</t>
  </si>
  <si>
    <t xml:space="preserve">Food Innopolis @ Kasetsart University</t>
  </si>
  <si>
    <t xml:space="preserve">Food Innopolis @ Kasetsart Team</t>
  </si>
  <si>
    <t xml:space="preserve">fi.kasetsart@ku.th</t>
  </si>
  <si>
    <t xml:space="preserve">Skipped: Food Innopolis covered via NSTDA Food Innopolis email</t>
  </si>
  <si>
    <t xml:space="preserve">https://foodinnopolis.kasetsart.org/en/contact-us/</t>
  </si>
  <si>
    <t xml:space="preserve">From your SEA database (row ID 9)</t>
  </si>
  <si>
    <t xml:space="preserve">School of Management – Bangkok</t>
  </si>
  <si>
    <t xml:space="preserve">School of Management</t>
  </si>
  <si>
    <t xml:space="preserve">dean_som@ait.ac.th</t>
  </si>
  <si>
    <t xml:space="preserve">Skipped: Only a dean office inbox; AIT covered via Entrepreneurship Center</t>
  </si>
  <si>
    <t xml:space="preserve">https://ait.ac.th/contact/</t>
  </si>
  <si>
    <t xml:space="preserve">From your SEA database (row ID 13)</t>
  </si>
  <si>
    <t xml:space="preserve">Sasin School of Management</t>
  </si>
  <si>
    <t xml:space="preserve">Entrepreneurship / innovation ecosystem</t>
  </si>
  <si>
    <t xml:space="preserve">Sasin Team</t>
  </si>
  <si>
    <t xml:space="preserve">https://www.sasin.edu/contact</t>
  </si>
  <si>
    <t xml:space="preserve">From your SEA database (row ID 14)</t>
  </si>
  <si>
    <t xml:space="preserve">National Innovation Agency (NIA)</t>
  </si>
  <si>
    <t xml:space="preserve">Startup Thailand / Innovation Ecosystem</t>
  </si>
  <si>
    <t xml:space="preserve">Pariwat Wongsamran</t>
  </si>
  <si>
    <t xml:space="preserve">https://www.nia.or.th/contact</t>
  </si>
  <si>
    <t xml:space="preserve">From your SEA database (row ID 15)</t>
  </si>
  <si>
    <t xml:space="preserve">Innovation Hub / Science Park</t>
  </si>
  <si>
    <t xml:space="preserve">Thailand Science Park – NSTDA</t>
  </si>
  <si>
    <t xml:space="preserve">Thailand Science Park</t>
  </si>
  <si>
    <t xml:space="preserve">Thailand Science Park Team</t>
  </si>
  <si>
    <t xml:space="preserve">customerrelation@sciencepark.or.th</t>
  </si>
  <si>
    <t xml:space="preserve">Skipped: Only a customer relations inbox</t>
  </si>
  <si>
    <t xml:space="preserve">https://www.nstda.or.th/en/images/pdf/2025/NSTDA_Services_2025.pdf</t>
  </si>
  <si>
    <t xml:space="preserve">From your SEA database (row ID 18)</t>
  </si>
  <si>
    <t xml:space="preserve">Innovation Hub / Accelerator</t>
  </si>
  <si>
    <t xml:space="preserve">Software Park Thailand – NSTDA</t>
  </si>
  <si>
    <t xml:space="preserve">Software Park Thailand</t>
  </si>
  <si>
    <t xml:space="preserve">Software Park Thailand Team</t>
  </si>
  <si>
    <t xml:space="preserve">fms@swpark.or.th</t>
  </si>
  <si>
    <t xml:space="preserve">Skipped: Only a facilities inbox</t>
  </si>
  <si>
    <t xml:space="preserve">From your SEA database (row ID 19)</t>
  </si>
  <si>
    <t xml:space="preserve">Corporate Accelerator</t>
  </si>
  <si>
    <t xml:space="preserve">Bangkok Bank</t>
  </si>
  <si>
    <t xml:space="preserve">Bangkok Bank InnoHub</t>
  </si>
  <si>
    <t xml:space="preserve">Bangkok Bank InnoHub Team</t>
  </si>
  <si>
    <t xml:space="preserve">https://www.bangkokbankinnohub.com/</t>
  </si>
  <si>
    <t xml:space="preserve">From your SEA database (row ID 26)</t>
  </si>
  <si>
    <t xml:space="preserve">Innovation / Venture Platform</t>
  </si>
  <si>
    <t xml:space="preserve">InnoSpace Thailand</t>
  </si>
  <si>
    <t xml:space="preserve">Public–Private Startup Ecosystem</t>
  </si>
  <si>
    <t xml:space="preserve">InnoSpace Thailand Team</t>
  </si>
  <si>
    <t xml:space="preserve">https://www.innospacethailand.com/contact/</t>
  </si>
  <si>
    <t xml:space="preserve">From your SEA database (row ID 27)</t>
  </si>
  <si>
    <t xml:space="preserve">Corporate VC / Venture Builder</t>
  </si>
  <si>
    <t xml:space="preserve">SCB 10X</t>
  </si>
  <si>
    <t xml:space="preserve">Venture Capital &amp; Venture Building</t>
  </si>
  <si>
    <t xml:space="preserve">SCB 10X Team</t>
  </si>
  <si>
    <t xml:space="preserve">https://www.scb10x.com/contact</t>
  </si>
  <si>
    <t xml:space="preserve">From your SEA database (row ID 28)</t>
  </si>
  <si>
    <t xml:space="preserve">Accelerator / Global Innovation Platform</t>
  </si>
  <si>
    <t xml:space="preserve">Plug and Play APAC</t>
  </si>
  <si>
    <t xml:space="preserve">Bangkok Innovation Platform</t>
  </si>
  <si>
    <t xml:space="preserve">Plug and Play APAC Team</t>
  </si>
  <si>
    <t xml:space="preserve">https://www.plugandplayapac.com/about-us</t>
  </si>
  <si>
    <t xml:space="preserve">From your SEA database (row ID 29)</t>
  </si>
  <si>
    <t xml:space="preserve">Corporate Innovation / Digital Ecosystem</t>
  </si>
  <si>
    <t xml:space="preserve">True Digital Group</t>
  </si>
  <si>
    <t xml:space="preserve">Digital Innovation Ecosystem</t>
  </si>
  <si>
    <t xml:space="preserve">True Digital Group Team</t>
  </si>
  <si>
    <t xml:space="preserve">hello@truedigital.com</t>
  </si>
  <si>
    <t xml:space="preserve">Skipped: True group covered via True Digital Park email</t>
  </si>
  <si>
    <t xml:space="preserve">https://www.truedigital.com/en/about-us/</t>
  </si>
  <si>
    <t xml:space="preserve">From your SEA database (row ID 31)</t>
  </si>
  <si>
    <t xml:space="preserve">Government / National Startup Platform</t>
  </si>
  <si>
    <t xml:space="preserve">MYStartup</t>
  </si>
  <si>
    <t xml:space="preserve">National Startup Platform</t>
  </si>
  <si>
    <t xml:space="preserve">MYStartup Team</t>
  </si>
  <si>
    <t xml:space="preserve">mystartup@cradle.com.my</t>
  </si>
  <si>
    <t xml:space="preserve">Skipped: Covered in cc of Cradle email</t>
  </si>
  <si>
    <t xml:space="preserve">https://www.mystartup.gov.my/contact-us</t>
  </si>
  <si>
    <t xml:space="preserve">From your SEA database (row ID 33)</t>
  </si>
  <si>
    <t xml:space="preserve">Government / Technology Commercialisation</t>
  </si>
  <si>
    <t xml:space="preserve">Malaysian Technology Development Corporation (MTDC)</t>
  </si>
  <si>
    <t xml:space="preserve">Technology Commercialisation &amp; Incubation</t>
  </si>
  <si>
    <t xml:space="preserve">MTDC Team</t>
  </si>
  <si>
    <t xml:space="preserve">commsadmin@mtdc.com.my</t>
  </si>
  <si>
    <t xml:space="preserve">Skipped: Only a communications admin inbox</t>
  </si>
  <si>
    <t xml:space="preserve">https://www.mtdc.com.my/contact-us/</t>
  </si>
  <si>
    <t xml:space="preserve">From your SEA database (row ID 35)</t>
  </si>
  <si>
    <t xml:space="preserve">Government / Digital Economy Agency</t>
  </si>
  <si>
    <t xml:space="preserve">Malaysia Digital Economy Corporation (MDEC)</t>
  </si>
  <si>
    <t xml:space="preserve">Digital Economy / Malaysia Tech Entrepreneur Programme</t>
  </si>
  <si>
    <t xml:space="preserve">MDEC Client Contact Centre</t>
  </si>
  <si>
    <t xml:space="preserve">clic@mdec.com.my</t>
  </si>
  <si>
    <t xml:space="preserve">Skipped: Only a client contact centre inbox</t>
  </si>
  <si>
    <t xml:space="preserve">https://www.mdec.my/locations</t>
  </si>
  <si>
    <t xml:space="preserve">From your SEA database (row ID 36)</t>
  </si>
  <si>
    <t xml:space="preserve">Government / Investment &amp; Ecosystem</t>
  </si>
  <si>
    <t xml:space="preserve">Malaysian Investment Development Authority (MIDA)</t>
  </si>
  <si>
    <t xml:space="preserve">Digital / Startup &amp; Investment Ecosystem</t>
  </si>
  <si>
    <t xml:space="preserve">MIDA Team</t>
  </si>
  <si>
    <t xml:space="preserve">https://www.mida.gov.my/</t>
  </si>
  <si>
    <t xml:space="preserve">From your SEA database (row ID 38)</t>
  </si>
  <si>
    <t xml:space="preserve">Student Entrepreneurship Centre</t>
  </si>
  <si>
    <t xml:space="preserve">Ahmad Hilmi Mohamad Noor</t>
  </si>
  <si>
    <t xml:space="preserve">albakry@um.edu.my</t>
  </si>
  <si>
    <t xml:space="preserve">Skipped: UM covered via UMCIE email</t>
  </si>
  <si>
    <t xml:space="preserve">https://hep.um.edu.my/student-affairs-department</t>
  </si>
  <si>
    <t xml:space="preserve">From your SEA database (row ID 40)</t>
  </si>
  <si>
    <t xml:space="preserve">Innovation and Commercialisation Centre (ICC)</t>
  </si>
  <si>
    <t xml:space="preserve">Assoc. Prof. Ts. Dr. Noor Azurati Ahmad @ Salleh</t>
  </si>
  <si>
    <t xml:space="preserve">icc@utm.my</t>
  </si>
  <si>
    <t xml:space="preserve">Skipped: UTM covered via UTMXCITE email</t>
  </si>
  <si>
    <t xml:space="preserve">https://icc.utm.my/contact-us/</t>
  </si>
  <si>
    <t xml:space="preserve">From your SEA database (row ID 42)</t>
  </si>
  <si>
    <t xml:space="preserve">ICC – Entrepreneurship Coaching &amp; Training</t>
  </si>
  <si>
    <t xml:space="preserve">Azlin Jamil</t>
  </si>
  <si>
    <t xml:space="preserve">azlinjamil@utm.my</t>
  </si>
  <si>
    <t xml:space="preserve">https://icc.utm.my/contact-us-2/</t>
  </si>
  <si>
    <t xml:space="preserve">From your SEA database (row ID 43)</t>
  </si>
  <si>
    <t xml:space="preserve">MASMED – Business Incubator Department</t>
  </si>
  <si>
    <t xml:space="preserve">Fatrisha Mohamed Yussof</t>
  </si>
  <si>
    <t xml:space="preserve">fatrisha@uitm.edu.my</t>
  </si>
  <si>
    <t xml:space="preserve">Skipped: UiTM covered via MASMED email to Assoc. Prof. Dr. Badrul</t>
  </si>
  <si>
    <t xml:space="preserve">From your SEA database (row ID 47)</t>
  </si>
  <si>
    <t xml:space="preserve">Asia School of Business</t>
  </si>
  <si>
    <t xml:space="preserve">Entrepreneurship &amp; Executive Ecosystem</t>
  </si>
  <si>
    <t xml:space="preserve">Asia School of Business Team</t>
  </si>
  <si>
    <t xml:space="preserve">execed@asb.edu.my</t>
  </si>
  <si>
    <t xml:space="preserve">Skipped: Only an executive education inbox</t>
  </si>
  <si>
    <t xml:space="preserve">https://exec.asb.edu.my/get-in-touch/</t>
  </si>
  <si>
    <t xml:space="preserve">From your SEA database (row ID 50)</t>
  </si>
  <si>
    <t xml:space="preserve">INCEIF University</t>
  </si>
  <si>
    <t xml:space="preserve">Islamic Entrepreneurship and Innovation Lab</t>
  </si>
  <si>
    <t xml:space="preserve">INCEIF Team</t>
  </si>
  <si>
    <t xml:space="preserve">enquiries@inceif.edu.my</t>
  </si>
  <si>
    <t xml:space="preserve">Skipped: Only a general enquiries inbox</t>
  </si>
  <si>
    <t xml:space="preserve">https://development.inceif.edu.my/ielab/</t>
  </si>
  <si>
    <t xml:space="preserve">From your SEA database (row ID 51)</t>
  </si>
  <si>
    <t xml:space="preserve">Universiti Tenaga Nasional (UNITEN)</t>
  </si>
  <si>
    <t xml:space="preserve">UNITEN Entrepreneurship Centre (UEC)</t>
  </si>
  <si>
    <t xml:space="preserve">UNITEN Entrepreneurship Centre Team</t>
  </si>
  <si>
    <t xml:space="preserve">enquiry@uniten.edu.my</t>
  </si>
  <si>
    <t xml:space="preserve">https://www.uniten.edu.my/campus-life/putrajaya-campus/entrepreneurship/</t>
  </si>
  <si>
    <t xml:space="preserve">From your SEA database (row ID 59)</t>
  </si>
  <si>
    <t xml:space="preserve">University Accelerator / Commercialisation</t>
  </si>
  <si>
    <t xml:space="preserve">Universiti Teknologi PETRONAS (UTP)</t>
  </si>
  <si>
    <t xml:space="preserve">UToPIA Innovation Accelerator / Technology Commercialisation</t>
  </si>
  <si>
    <t xml:space="preserve">Technology Commercialisation Team</t>
  </si>
  <si>
    <t xml:space="preserve">https://www.utp.edu.my/Pages/Research/Technology%20Commercialisation/UToPIA/UToPIA---Program.aspx</t>
  </si>
  <si>
    <t xml:space="preserve">From your SEA database (row ID 60)</t>
  </si>
  <si>
    <t xml:space="preserve">NEXEA</t>
  </si>
  <si>
    <t xml:space="preserve">Accelerator / Angel Network / Venture Builder</t>
  </si>
  <si>
    <t xml:space="preserve">NEXEA Team</t>
  </si>
  <si>
    <t xml:space="preserve">https://www.nexea.co/contact/</t>
  </si>
  <si>
    <t xml:space="preserve">From your SEA database (row ID 63)</t>
  </si>
  <si>
    <t xml:space="preserve">Malaysia Innovation Platform</t>
  </si>
  <si>
    <t xml:space="preserve">From your SEA database (row ID 64)</t>
  </si>
  <si>
    <t xml:space="preserve">VC / Accelerator</t>
  </si>
  <si>
    <t xml:space="preserve">500 Global</t>
  </si>
  <si>
    <t xml:space="preserve">Southeast Asia / Malaysia</t>
  </si>
  <si>
    <t xml:space="preserve">500 Global SEA Team</t>
  </si>
  <si>
    <t xml:space="preserve">https://500.co/southeast-asia</t>
  </si>
  <si>
    <t xml:space="preserve">From your SEA database (row ID 65)</t>
  </si>
  <si>
    <t xml:space="preserve">VC / Founder Program</t>
  </si>
  <si>
    <t xml:space="preserve">Antler</t>
  </si>
  <si>
    <t xml:space="preserve">Malaysia / Southeast Asia</t>
  </si>
  <si>
    <t xml:space="preserve">Antler SEA Team</t>
  </si>
  <si>
    <t xml:space="preserve">https://www.antler.co/locations</t>
  </si>
  <si>
    <t xml:space="preserve">From your SEA database (row ID 66)</t>
  </si>
  <si>
    <t xml:space="preserve">Innovation / Startup Ecosystem</t>
  </si>
  <si>
    <t xml:space="preserve">Cyberjaya Innovation District</t>
  </si>
  <si>
    <t xml:space="preserve">Startup &amp; Corporate Innovation Ecosystem</t>
  </si>
  <si>
    <t xml:space="preserve">Cyberview Team</t>
  </si>
  <si>
    <t xml:space="preserve">Skipped: Same inbox as Cyberview email</t>
  </si>
  <si>
    <t xml:space="preserve">From your SEA database (row ID 67)</t>
  </si>
  <si>
    <t xml:space="preserve">Enterprise Singapore</t>
  </si>
  <si>
    <t xml:space="preserve">Startup SG</t>
  </si>
  <si>
    <t xml:space="preserve">Startup SG / Enterprise Singapore Team</t>
  </si>
  <si>
    <t xml:space="preserve">https://www.enterprisesg.gov.sg/grow-your-business/partner-with-singapore/innovation-and-startups/join-startup-sg</t>
  </si>
  <si>
    <t xml:space="preserve">From your SEA database (row ID 68)</t>
  </si>
  <si>
    <t xml:space="preserve">Government / Innovation District</t>
  </si>
  <si>
    <t xml:space="preserve">JTC Corporation</t>
  </si>
  <si>
    <t xml:space="preserve">LaunchPad @ one-north</t>
  </si>
  <si>
    <t xml:space="preserve">LaunchPad / JTC Team</t>
  </si>
  <si>
    <t xml:space="preserve">askjtc@jtc.gov.sg</t>
  </si>
  <si>
    <t xml:space="preserve">Skipped: Only a general JTC enquiries inbox</t>
  </si>
  <si>
    <t xml:space="preserve">https://www.jtc.gov.sg/about-jtc/news-and-stories/press-releases/launchpad-reimagined_25-march-2026</t>
  </si>
  <si>
    <t xml:space="preserve">From your SEA database (row ID 69)</t>
  </si>
  <si>
    <t xml:space="preserve">Government / Tech Startup Program</t>
  </si>
  <si>
    <t xml:space="preserve">IMDA Spark</t>
  </si>
  <si>
    <t xml:space="preserve">IMDA Spark Team</t>
  </si>
  <si>
    <t xml:space="preserve">SGD_SPARK@imda.gov.sg</t>
  </si>
  <si>
    <t xml:space="preserve">Skipped: IMDA covered via PIXEL email</t>
  </si>
  <si>
    <t xml:space="preserve">https://www.imda.gov.sg/how-we-can-help/imda-spark</t>
  </si>
  <si>
    <t xml:space="preserve">From your SEA database (row ID 72)</t>
  </si>
  <si>
    <t xml:space="preserve">Deep-Tech Ecosystem / Investor</t>
  </si>
  <si>
    <t xml:space="preserve">SGInnovate</t>
  </si>
  <si>
    <t xml:space="preserve">Deep Tech Central / Venture Ecosystem</t>
  </si>
  <si>
    <t xml:space="preserve">SGInnovate Team</t>
  </si>
  <si>
    <t xml:space="preserve">https://www.sginnovate.com/contact</t>
  </si>
  <si>
    <t xml:space="preserve">From your SEA database (row ID 73)</t>
  </si>
  <si>
    <t xml:space="preserve">Government / Research Commercialisation</t>
  </si>
  <si>
    <t xml:space="preserve">A*STAR</t>
  </si>
  <si>
    <t xml:space="preserve">A*STAR Innovation &amp; Enterprise Team</t>
  </si>
  <si>
    <t xml:space="preserve">https://www.a-star.edu.sg/enterprise/connect-with-us</t>
  </si>
  <si>
    <t xml:space="preserve">From your SEA database (row ID 74)</t>
  </si>
  <si>
    <t xml:space="preserve">Entrepreneurship Support / Technology Transfer &amp; Innovation</t>
  </si>
  <si>
    <t xml:space="preserve">startyourjourney@nus.edu.sg</t>
  </si>
  <si>
    <t xml:space="preserve">Skipped: NUS covered via NUS Enterprise email</t>
  </si>
  <si>
    <t xml:space="preserve">https://enterprise.nus.edu.sg/tti/entrepreneurship-support/</t>
  </si>
  <si>
    <t xml:space="preserve">From your SEA database (row ID 77)</t>
  </si>
  <si>
    <t xml:space="preserve">NTUitive – National GRIP / Venture Building</t>
  </si>
  <si>
    <t xml:space="preserve">NTUitive Venture Building Team</t>
  </si>
  <si>
    <t xml:space="preserve">ntuitive-ventures@ntu.edu.sg</t>
  </si>
  <si>
    <t xml:space="preserve">Skipped: NTU covered via Kat Neo email (in cc)</t>
  </si>
  <si>
    <t xml:space="preserve">https://www.ntu.edu.sg/innovates/venture-building-programme</t>
  </si>
  <si>
    <t xml:space="preserve">From your SEA database (row ID 78)</t>
  </si>
  <si>
    <t xml:space="preserve">NTU Entrepreneurship Academy (NTUpreneur)</t>
  </si>
  <si>
    <t xml:space="preserve">NTUpreneur Team</t>
  </si>
  <si>
    <t xml:space="preserve">NTUpreneur@ntu.edu.sg</t>
  </si>
  <si>
    <t xml:space="preserve">Skipped: NTU covered via Kat Neo email</t>
  </si>
  <si>
    <t xml:space="preserve">https://www.ntu.edu.sg/ntupreneur/contact-us/</t>
  </si>
  <si>
    <t xml:space="preserve">From your SEA database (row ID 80)</t>
  </si>
  <si>
    <t xml:space="preserve">Polytechnic Entrepreneurship</t>
  </si>
  <si>
    <t xml:space="preserve">Singapore Polytechnic</t>
  </si>
  <si>
    <t xml:space="preserve">SPiNOFF Entrepreneurship Centre</t>
  </si>
  <si>
    <t xml:space="preserve">SPiNOFF Team</t>
  </si>
  <si>
    <t xml:space="preserve">https://www.sp.edu.sg/industry/student-talent/spinoff-entrepreneurship-centre</t>
  </si>
  <si>
    <t xml:space="preserve">From your SEA database (row ID 85)</t>
  </si>
  <si>
    <t xml:space="preserve">Polytechnic Innovation / Entrepreneurship</t>
  </si>
  <si>
    <t xml:space="preserve">Republic Polytechnic</t>
  </si>
  <si>
    <t xml:space="preserve">Applied Innovation Centres / iDARE</t>
  </si>
  <si>
    <t xml:space="preserve">Republic Polytechnic Team</t>
  </si>
  <si>
    <t xml:space="preserve">https://www.rp.edu.sg/about-us/contact-us/</t>
  </si>
  <si>
    <t xml:space="preserve">From your SEA database (row ID 86)</t>
  </si>
  <si>
    <t xml:space="preserve">INSEAD Asia Campus</t>
  </si>
  <si>
    <t xml:space="preserve">Entrepreneurship Ecosystem</t>
  </si>
  <si>
    <t xml:space="preserve">INSEAD Singapore Team</t>
  </si>
  <si>
    <t xml:space="preserve">https://www.insead.edu/about-insead/our-locations/asia-campus</t>
  </si>
  <si>
    <t xml:space="preserve">From your SEA database (row ID 87)</t>
  </si>
  <si>
    <t xml:space="preserve">Quest Ventures</t>
  </si>
  <si>
    <t xml:space="preserve">Startup Singapore Quest / Global Innovation</t>
  </si>
  <si>
    <t xml:space="preserve">Quest Ventures Team</t>
  </si>
  <si>
    <t xml:space="preserve">https://www.questventures.com/businesses/accelerate/startup-singapore-quest/</t>
  </si>
  <si>
    <t xml:space="preserve">From your SEA database (row ID 91)</t>
  </si>
  <si>
    <t xml:space="preserve">Singapore APAC Headquarters</t>
  </si>
  <si>
    <t xml:space="preserve">Wayne Soh</t>
  </si>
  <si>
    <t xml:space="preserve">Skipped: No primary email; only a fintech programme inbox</t>
  </si>
  <si>
    <t xml:space="preserve">https://www.plugandplayapac.com/our-team</t>
  </si>
  <si>
    <t xml:space="preserve">From your SEA database (row ID 93)</t>
  </si>
  <si>
    <t xml:space="preserve">Winnie Khoo</t>
  </si>
  <si>
    <t xml:space="preserve">https://www.antler.co/spokesperson/winnie-khoo</t>
  </si>
  <si>
    <t xml:space="preserve">From your SEA database (row ID 94)</t>
  </si>
  <si>
    <t xml:space="preserve">Accelerator / Fintech Innovation</t>
  </si>
  <si>
    <t xml:space="preserve">Tenity</t>
  </si>
  <si>
    <t xml:space="preserve">Singapore Hub</t>
  </si>
  <si>
    <t xml:space="preserve">Cyrus Cruz</t>
  </si>
  <si>
    <t xml:space="preserve">https://www.tenity.com/about/singapore/</t>
  </si>
  <si>
    <t xml:space="preserve">From your SEA database (row ID 95)</t>
  </si>
  <si>
    <t xml:space="preserve">Global VC / Accelerator</t>
  </si>
  <si>
    <t xml:space="preserve">From your SEA database (row ID 96)</t>
  </si>
  <si>
    <t xml:space="preserve">Innovation / Corporate Partnerships</t>
  </si>
  <si>
    <t xml:space="preserve">Open Innovation Platform</t>
  </si>
  <si>
    <t xml:space="preserve">IMDA Open Innovation Team</t>
  </si>
  <si>
    <t xml:space="preserve">open_innovation@imda.gov.sg</t>
  </si>
  <si>
    <t xml:space="preserve">Skipped: IMDA covered via PIXEL email (in cc)</t>
  </si>
  <si>
    <t xml:space="preserve">From your SEA database (row ID 98)</t>
  </si>
  <si>
    <t xml:space="preserve">University Commercialisation</t>
  </si>
  <si>
    <t xml:space="preserve">NTUitive – Technology Development</t>
  </si>
  <si>
    <t xml:space="preserve">Dr. Chava Vijaya Saradhi</t>
  </si>
  <si>
    <t xml:space="preserve">saradhi@ntu.edu.sg</t>
  </si>
  <si>
    <t xml:space="preserve">https://www.ntu.edu.sg/innovates/guide-to-enterprising-pathways-for-ntu-faculty-and-researchers</t>
  </si>
  <si>
    <t xml:space="preserve">From your SEA database (row ID 99)</t>
  </si>
  <si>
    <t xml:space="preserve">Government / International Innovation</t>
  </si>
  <si>
    <t xml:space="preserve">Global Innovation / Southeast Asia Market Connections</t>
  </si>
  <si>
    <t xml:space="preserve">Enterprise Singapore Team</t>
  </si>
  <si>
    <t xml:space="preserve">From your SEA database (row ID 100)</t>
  </si>
  <si>
    <t xml:space="preserve">Corporate / Global Accelerator</t>
  </si>
  <si>
    <t xml:space="preserve">APAC Programs &amp; Corporate Partnerships</t>
  </si>
  <si>
    <t xml:space="preserve">John Ang</t>
  </si>
  <si>
    <t xml:space="preserve">From your SEA database (row ID 101)</t>
  </si>
  <si>
    <t xml:space="preserve">University Innovation / Industry</t>
  </si>
  <si>
    <t xml:space="preserve">InnoHub</t>
  </si>
  <si>
    <t xml:space="preserve">SIT InnoHub / Technology Transfer Team</t>
  </si>
  <si>
    <t xml:space="preserve">Skipped: Same inbox as SIT email</t>
  </si>
  <si>
    <t xml:space="preserve">https://www.singaporetech.edu.sg/innohub</t>
  </si>
  <si>
    <t xml:space="preserve">From your SEA database (row ID 102)</t>
  </si>
  <si>
    <t xml:space="preserve">Deep-Tech Ecosystem / Talent</t>
  </si>
  <si>
    <t xml:space="preserve">Deep Tech Central</t>
  </si>
  <si>
    <t xml:space="preserve">SGInnovate Deep Tech Central Team</t>
  </si>
  <si>
    <t xml:space="preserve">https://www.sginnovate.com/dtc</t>
  </si>
  <si>
    <t xml:space="preserve">From your SEA database (row ID 103)</t>
  </si>
  <si>
    <t xml:space="preserve">NTUitive General Innovation &amp; Technology Transfer</t>
  </si>
  <si>
    <t xml:space="preserve">NTUitive Team</t>
  </si>
  <si>
    <t xml:space="preserve">ntuitiveinfo@ntuitive.sg</t>
  </si>
  <si>
    <t xml:space="preserve">https://www.ntu.edu.sg/about-us/contact-us</t>
  </si>
  <si>
    <t xml:space="preserve">From your SEA database (row ID 104)</t>
  </si>
  <si>
    <t xml:space="preserve">Innovation / Industry Collaboration</t>
  </si>
  <si>
    <t xml:space="preserve">Technology Innovation Centre / Industry Labs</t>
  </si>
  <si>
    <t xml:space="preserve">SIT Technology Transfer Team</t>
  </si>
  <si>
    <t xml:space="preserve">From your SEA database (row ID 105)</t>
  </si>
  <si>
    <t xml:space="preserve">Startup / Innovation Community</t>
  </si>
  <si>
    <t xml:space="preserve">one-north / LaunchPad ecosystem</t>
  </si>
  <si>
    <t xml:space="preserve">The Meeting Point</t>
  </si>
  <si>
    <t xml:space="preserve">JTC LaunchPad Team</t>
  </si>
  <si>
    <t xml:space="preserve">From your SEA database (row ID 106)</t>
  </si>
  <si>
    <t xml:space="preserve">Count</t>
  </si>
  <si>
    <t xml:space="preserve">Blocked / other</t>
  </si>
  <si>
    <t xml:space="preserve">Drafted (not sent)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</si>
</sst>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26"/>
    <col collapsed="false" customWidth="true" hidden="false" outlineLevel="0" max="6" min="6" style="1" width="28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22"/>
    <col collapsed="false" customWidth="true" hidden="false" outlineLevel="0" max="10" min="10" style="1" width="11"/>
    <col collapsed="false" customWidth="true" hidden="false" outlineLevel="0" max="11" min="11" style="1" width="36"/>
    <col collapsed="false" customWidth="true" hidden="false" outlineLevel="0" max="12" min="12" style="1" width="44"/>
    <col collapsed="false" customWidth="true" hidden="false" outlineLevel="0" max="13" min="13" style="1" width="30"/>
    <col collapsed="false" customWidth="true" hidden="false" outlineLevel="0" max="14" min="14" style="1" width="44"/>
    <col collapsed="false" customWidth="true" hidden="false" outlineLevel="0" max="16" min="16" style="1" width="16"/>
    <col collapsed="false" customWidth="true" hidden="false" outlineLevel="0" max="17" min="17" style="1" width="6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1" t="s">
        <v>15</v>
      </c>
      <c r="Q1" s="1" t="s">
        <v>16</v>
      </c>
    </row>
    <row r="2" customFormat="false" ht="23.25" hidden="false" customHeight="true" outlineLevel="0" collapsed="false">
      <c r="A2" s="4" t="n">
        <v>1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  <c r="L2" s="4" t="s">
        <v>27</v>
      </c>
      <c r="M2" s="4" t="s">
        <v>28</v>
      </c>
      <c r="N2" s="4"/>
      <c r="O2" s="4" t="s">
        <v>29</v>
      </c>
      <c r="P2" s="5" t="s">
        <v>30</v>
      </c>
      <c r="Q2" s="5"/>
    </row>
    <row r="3" customFormat="false" ht="15" hidden="false" customHeight="true" outlineLevel="0" collapsed="false">
      <c r="A3" s="4" t="n">
        <v>2</v>
      </c>
      <c r="B3" s="4" t="s">
        <v>17</v>
      </c>
      <c r="C3" s="4" t="s">
        <v>31</v>
      </c>
      <c r="D3" s="4" t="s">
        <v>32</v>
      </c>
      <c r="E3" s="4" t="s">
        <v>33</v>
      </c>
      <c r="F3" s="4" t="s">
        <v>34</v>
      </c>
      <c r="G3" s="4"/>
      <c r="H3" s="4" t="s">
        <v>35</v>
      </c>
      <c r="I3" s="4" t="s">
        <v>24</v>
      </c>
      <c r="J3" s="4" t="s">
        <v>25</v>
      </c>
      <c r="K3" s="4" t="s">
        <v>36</v>
      </c>
      <c r="L3" s="4" t="s">
        <v>37</v>
      </c>
      <c r="M3" s="4" t="s">
        <v>38</v>
      </c>
      <c r="N3" s="4"/>
      <c r="O3" s="4" t="s">
        <v>29</v>
      </c>
      <c r="P3" s="5" t="s">
        <v>30</v>
      </c>
      <c r="Q3" s="5"/>
    </row>
    <row r="4" customFormat="false" ht="23.25" hidden="false" customHeight="true" outlineLevel="0" collapsed="false">
      <c r="A4" s="4" t="n">
        <v>3</v>
      </c>
      <c r="B4" s="4" t="s">
        <v>17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  <c r="I4" s="4" t="s">
        <v>24</v>
      </c>
      <c r="J4" s="4" t="s">
        <v>25</v>
      </c>
      <c r="K4" s="4" t="s">
        <v>45</v>
      </c>
      <c r="L4" s="4" t="s">
        <v>46</v>
      </c>
      <c r="M4" s="4" t="s">
        <v>47</v>
      </c>
      <c r="N4" s="4"/>
      <c r="O4" s="4" t="s">
        <v>29</v>
      </c>
      <c r="P4" s="5" t="s">
        <v>30</v>
      </c>
      <c r="Q4" s="5"/>
    </row>
    <row r="5" customFormat="false" ht="15" hidden="false" customHeight="true" outlineLevel="0" collapsed="false">
      <c r="A5" s="4" t="n">
        <v>4</v>
      </c>
      <c r="B5" s="4" t="s">
        <v>48</v>
      </c>
      <c r="C5" s="4" t="s">
        <v>49</v>
      </c>
      <c r="D5" s="4" t="s">
        <v>50</v>
      </c>
      <c r="E5" s="4" t="s">
        <v>51</v>
      </c>
      <c r="F5" s="4" t="s">
        <v>51</v>
      </c>
      <c r="G5" s="4"/>
      <c r="H5" s="4" t="s">
        <v>52</v>
      </c>
      <c r="I5" s="4" t="s">
        <v>24</v>
      </c>
      <c r="J5" s="4" t="s">
        <v>25</v>
      </c>
      <c r="K5" s="4" t="s">
        <v>53</v>
      </c>
      <c r="L5" s="4" t="s">
        <v>54</v>
      </c>
      <c r="M5" s="4" t="s">
        <v>55</v>
      </c>
      <c r="N5" s="4"/>
      <c r="O5" s="4" t="s">
        <v>29</v>
      </c>
      <c r="P5" s="5" t="s">
        <v>30</v>
      </c>
      <c r="Q5" s="5"/>
    </row>
    <row r="6" customFormat="false" ht="15" hidden="false" customHeight="true" outlineLevel="0" collapsed="false">
      <c r="A6" s="4" t="n">
        <v>5</v>
      </c>
      <c r="B6" s="4" t="s">
        <v>48</v>
      </c>
      <c r="C6" s="4" t="s">
        <v>56</v>
      </c>
      <c r="D6" s="4" t="s">
        <v>57</v>
      </c>
      <c r="E6" s="4" t="s">
        <v>58</v>
      </c>
      <c r="F6" s="4" t="s">
        <v>59</v>
      </c>
      <c r="G6" s="4"/>
      <c r="H6" s="4" t="s">
        <v>60</v>
      </c>
      <c r="I6" s="4" t="s">
        <v>24</v>
      </c>
      <c r="J6" s="4" t="s">
        <v>25</v>
      </c>
      <c r="K6" s="4" t="s">
        <v>61</v>
      </c>
      <c r="L6" s="4" t="s">
        <v>62</v>
      </c>
      <c r="M6" s="4" t="s">
        <v>63</v>
      </c>
      <c r="N6" s="4"/>
      <c r="O6" s="4" t="s">
        <v>29</v>
      </c>
      <c r="P6" s="5" t="s">
        <v>30</v>
      </c>
      <c r="Q6" s="5"/>
    </row>
    <row r="7" customFormat="false" ht="15" hidden="false" customHeight="true" outlineLevel="0" collapsed="false">
      <c r="A7" s="4" t="n">
        <v>6</v>
      </c>
      <c r="B7" s="4" t="s">
        <v>48</v>
      </c>
      <c r="C7" s="4" t="s">
        <v>64</v>
      </c>
      <c r="D7" s="4" t="s">
        <v>19</v>
      </c>
      <c r="E7" s="4" t="s">
        <v>65</v>
      </c>
      <c r="F7" s="4" t="s">
        <v>66</v>
      </c>
      <c r="G7" s="4"/>
      <c r="H7" s="4" t="s">
        <v>67</v>
      </c>
      <c r="I7" s="4" t="s">
        <v>24</v>
      </c>
      <c r="J7" s="4" t="s">
        <v>25</v>
      </c>
      <c r="K7" s="4" t="s">
        <v>68</v>
      </c>
      <c r="L7" s="4" t="s">
        <v>69</v>
      </c>
      <c r="M7" s="4" t="s">
        <v>70</v>
      </c>
      <c r="N7" s="4"/>
      <c r="O7" s="4" t="s">
        <v>29</v>
      </c>
      <c r="P7" s="5" t="s">
        <v>30</v>
      </c>
      <c r="Q7" s="5"/>
    </row>
    <row r="8" customFormat="false" ht="15" hidden="false" customHeight="true" outlineLevel="0" collapsed="false">
      <c r="A8" s="4" t="n">
        <v>7</v>
      </c>
      <c r="B8" s="4" t="s">
        <v>48</v>
      </c>
      <c r="C8" s="4" t="s">
        <v>71</v>
      </c>
      <c r="D8" s="4" t="s">
        <v>19</v>
      </c>
      <c r="E8" s="4" t="s">
        <v>72</v>
      </c>
      <c r="F8" s="4" t="s">
        <v>73</v>
      </c>
      <c r="G8" s="4"/>
      <c r="H8" s="4" t="s">
        <v>74</v>
      </c>
      <c r="I8" s="4" t="s">
        <v>24</v>
      </c>
      <c r="J8" s="4" t="s">
        <v>25</v>
      </c>
      <c r="K8" s="4" t="s">
        <v>75</v>
      </c>
      <c r="L8" s="4" t="s">
        <v>76</v>
      </c>
      <c r="M8" s="4" t="s">
        <v>77</v>
      </c>
      <c r="N8" s="4"/>
      <c r="O8" s="4" t="s">
        <v>29</v>
      </c>
      <c r="P8" s="5" t="s">
        <v>30</v>
      </c>
      <c r="Q8" s="5"/>
    </row>
    <row r="9" customFormat="false" ht="23.25" hidden="false" customHeight="true" outlineLevel="0" collapsed="false">
      <c r="A9" s="4" t="n">
        <v>8</v>
      </c>
      <c r="B9" s="4" t="s">
        <v>17</v>
      </c>
      <c r="C9" s="4" t="s">
        <v>18</v>
      </c>
      <c r="D9" s="4" t="s">
        <v>78</v>
      </c>
      <c r="E9" s="4" t="s">
        <v>79</v>
      </c>
      <c r="F9" s="4" t="s">
        <v>80</v>
      </c>
      <c r="G9" s="4"/>
      <c r="H9" s="4" t="s">
        <v>81</v>
      </c>
      <c r="I9" s="4" t="s">
        <v>24</v>
      </c>
      <c r="J9" s="4" t="s">
        <v>25</v>
      </c>
      <c r="K9" s="4" t="s">
        <v>82</v>
      </c>
      <c r="L9" s="4" t="s">
        <v>83</v>
      </c>
      <c r="M9" s="4" t="s">
        <v>84</v>
      </c>
      <c r="N9" s="4"/>
      <c r="O9" s="4" t="s">
        <v>29</v>
      </c>
      <c r="P9" s="5" t="s">
        <v>30</v>
      </c>
      <c r="Q9" s="5"/>
    </row>
    <row r="10" customFormat="false" ht="23.25" hidden="false" customHeight="true" outlineLevel="0" collapsed="false">
      <c r="A10" s="4" t="n">
        <v>9</v>
      </c>
      <c r="B10" s="4" t="s">
        <v>17</v>
      </c>
      <c r="C10" s="4" t="s">
        <v>85</v>
      </c>
      <c r="D10" s="4" t="s">
        <v>78</v>
      </c>
      <c r="E10" s="4" t="s">
        <v>86</v>
      </c>
      <c r="F10" s="4" t="s">
        <v>87</v>
      </c>
      <c r="G10" s="4"/>
      <c r="H10" s="4" t="s">
        <v>88</v>
      </c>
      <c r="I10" s="4" t="s">
        <v>24</v>
      </c>
      <c r="J10" s="4" t="s">
        <v>25</v>
      </c>
      <c r="K10" s="4" t="s">
        <v>89</v>
      </c>
      <c r="L10" s="4" t="s">
        <v>90</v>
      </c>
      <c r="M10" s="4" t="s">
        <v>91</v>
      </c>
      <c r="N10" s="4"/>
      <c r="O10" s="4" t="s">
        <v>29</v>
      </c>
      <c r="P10" s="5" t="s">
        <v>30</v>
      </c>
      <c r="Q10" s="5"/>
    </row>
    <row r="11" customFormat="false" ht="23.25" hidden="false" customHeight="true" outlineLevel="0" collapsed="false">
      <c r="A11" s="4" t="n">
        <v>10</v>
      </c>
      <c r="B11" s="4" t="s">
        <v>17</v>
      </c>
      <c r="C11" s="4" t="s">
        <v>92</v>
      </c>
      <c r="D11" s="4" t="s">
        <v>93</v>
      </c>
      <c r="E11" s="4" t="s">
        <v>94</v>
      </c>
      <c r="F11" s="4" t="s">
        <v>95</v>
      </c>
      <c r="G11" s="4"/>
      <c r="H11" s="4" t="s">
        <v>96</v>
      </c>
      <c r="I11" s="4" t="s">
        <v>24</v>
      </c>
      <c r="J11" s="4" t="s">
        <v>25</v>
      </c>
      <c r="K11" s="4" t="s">
        <v>97</v>
      </c>
      <c r="L11" s="4" t="s">
        <v>98</v>
      </c>
      <c r="M11" s="4" t="s">
        <v>99</v>
      </c>
      <c r="N11" s="4"/>
      <c r="O11" s="4" t="s">
        <v>29</v>
      </c>
      <c r="P11" s="5" t="s">
        <v>30</v>
      </c>
      <c r="Q11" s="5"/>
    </row>
    <row r="12" customFormat="false" ht="15" hidden="false" customHeight="true" outlineLevel="0" collapsed="false">
      <c r="A12" s="4" t="n">
        <v>11</v>
      </c>
      <c r="B12" s="4" t="s">
        <v>17</v>
      </c>
      <c r="C12" s="4" t="s">
        <v>100</v>
      </c>
      <c r="D12" s="4" t="s">
        <v>101</v>
      </c>
      <c r="E12" s="4" t="s">
        <v>102</v>
      </c>
      <c r="F12" s="4" t="s">
        <v>103</v>
      </c>
      <c r="G12" s="4"/>
      <c r="H12" s="4" t="s">
        <v>104</v>
      </c>
      <c r="I12" s="4" t="s">
        <v>24</v>
      </c>
      <c r="J12" s="4" t="s">
        <v>25</v>
      </c>
      <c r="K12" s="4" t="s">
        <v>105</v>
      </c>
      <c r="L12" s="4" t="s">
        <v>106</v>
      </c>
      <c r="M12" s="4" t="s">
        <v>107</v>
      </c>
      <c r="N12" s="4"/>
      <c r="O12" s="4" t="s">
        <v>29</v>
      </c>
      <c r="P12" s="5" t="s">
        <v>30</v>
      </c>
      <c r="Q12" s="5"/>
    </row>
    <row r="13" customFormat="false" ht="15" hidden="false" customHeight="true" outlineLevel="0" collapsed="false">
      <c r="A13" s="4" t="n">
        <v>12</v>
      </c>
      <c r="B13" s="4" t="s">
        <v>17</v>
      </c>
      <c r="C13" s="4" t="s">
        <v>100</v>
      </c>
      <c r="D13" s="4" t="s">
        <v>78</v>
      </c>
      <c r="E13" s="4" t="s">
        <v>108</v>
      </c>
      <c r="F13" s="4" t="s">
        <v>109</v>
      </c>
      <c r="G13" s="4"/>
      <c r="H13" s="4" t="s">
        <v>110</v>
      </c>
      <c r="I13" s="4" t="s">
        <v>24</v>
      </c>
      <c r="J13" s="4" t="s">
        <v>25</v>
      </c>
      <c r="K13" s="4" t="s">
        <v>111</v>
      </c>
      <c r="L13" s="4" t="s">
        <v>112</v>
      </c>
      <c r="M13" s="4" t="s">
        <v>113</v>
      </c>
      <c r="N13" s="4"/>
      <c r="O13" s="4" t="s">
        <v>29</v>
      </c>
      <c r="P13" s="5" t="s">
        <v>30</v>
      </c>
      <c r="Q13" s="5"/>
    </row>
    <row r="14" customFormat="false" ht="23.25" hidden="false" customHeight="true" outlineLevel="0" collapsed="false">
      <c r="A14" s="4" t="n">
        <v>13</v>
      </c>
      <c r="B14" s="4" t="s">
        <v>17</v>
      </c>
      <c r="C14" s="4" t="s">
        <v>114</v>
      </c>
      <c r="D14" s="4" t="s">
        <v>93</v>
      </c>
      <c r="E14" s="4" t="s">
        <v>115</v>
      </c>
      <c r="F14" s="4" t="s">
        <v>116</v>
      </c>
      <c r="G14" s="4"/>
      <c r="H14" s="4" t="s">
        <v>117</v>
      </c>
      <c r="I14" s="4" t="s">
        <v>24</v>
      </c>
      <c r="J14" s="4" t="s">
        <v>25</v>
      </c>
      <c r="K14" s="4" t="s">
        <v>118</v>
      </c>
      <c r="L14" s="4" t="s">
        <v>119</v>
      </c>
      <c r="M14" s="4" t="s">
        <v>120</v>
      </c>
      <c r="N14" s="4"/>
      <c r="O14" s="4" t="s">
        <v>29</v>
      </c>
      <c r="P14" s="5" t="s">
        <v>30</v>
      </c>
      <c r="Q14" s="5"/>
    </row>
    <row r="15" customFormat="false" ht="15" hidden="false" customHeight="true" outlineLevel="0" collapsed="false">
      <c r="A15" s="4" t="n">
        <v>14</v>
      </c>
      <c r="B15" s="4" t="s">
        <v>17</v>
      </c>
      <c r="C15" s="4" t="s">
        <v>39</v>
      </c>
      <c r="D15" s="4" t="s">
        <v>93</v>
      </c>
      <c r="E15" s="4" t="s">
        <v>121</v>
      </c>
      <c r="F15" s="4" t="s">
        <v>122</v>
      </c>
      <c r="G15" s="4"/>
      <c r="H15" s="4" t="s">
        <v>123</v>
      </c>
      <c r="I15" s="4" t="s">
        <v>24</v>
      </c>
      <c r="J15" s="4" t="s">
        <v>25</v>
      </c>
      <c r="K15" s="4" t="s">
        <v>124</v>
      </c>
      <c r="L15" s="4" t="s">
        <v>125</v>
      </c>
      <c r="M15" s="4" t="s">
        <v>126</v>
      </c>
      <c r="N15" s="4"/>
      <c r="O15" s="4" t="s">
        <v>29</v>
      </c>
      <c r="P15" s="5" t="s">
        <v>30</v>
      </c>
      <c r="Q15" s="5"/>
    </row>
    <row r="16" customFormat="false" ht="23.25" hidden="false" customHeight="true" outlineLevel="0" collapsed="false">
      <c r="A16" s="4" t="n">
        <v>15</v>
      </c>
      <c r="B16" s="4" t="s">
        <v>17</v>
      </c>
      <c r="C16" s="4" t="s">
        <v>18</v>
      </c>
      <c r="D16" s="4" t="s">
        <v>19</v>
      </c>
      <c r="E16" s="4" t="s">
        <v>127</v>
      </c>
      <c r="F16" s="4" t="s">
        <v>128</v>
      </c>
      <c r="G16" s="4"/>
      <c r="H16" s="4" t="s">
        <v>129</v>
      </c>
      <c r="I16" s="4" t="s">
        <v>24</v>
      </c>
      <c r="J16" s="4" t="s">
        <v>25</v>
      </c>
      <c r="K16" s="4" t="s">
        <v>130</v>
      </c>
      <c r="L16" s="4" t="s">
        <v>131</v>
      </c>
      <c r="M16" s="4" t="s">
        <v>132</v>
      </c>
      <c r="N16" s="4"/>
      <c r="O16" s="4" t="s">
        <v>29</v>
      </c>
      <c r="P16" s="5" t="s">
        <v>30</v>
      </c>
      <c r="Q16" s="5"/>
    </row>
    <row r="17" customFormat="false" ht="23.25" hidden="false" customHeight="true" outlineLevel="0" collapsed="false">
      <c r="A17" s="4" t="n">
        <v>16</v>
      </c>
      <c r="B17" s="4" t="s">
        <v>17</v>
      </c>
      <c r="C17" s="4" t="s">
        <v>18</v>
      </c>
      <c r="D17" s="4" t="s">
        <v>133</v>
      </c>
      <c r="E17" s="4" t="s">
        <v>134</v>
      </c>
      <c r="F17" s="4" t="s">
        <v>135</v>
      </c>
      <c r="G17" s="4"/>
      <c r="H17" s="4" t="s">
        <v>136</v>
      </c>
      <c r="I17" s="4" t="s">
        <v>24</v>
      </c>
      <c r="J17" s="4" t="s">
        <v>25</v>
      </c>
      <c r="K17" s="4" t="s">
        <v>137</v>
      </c>
      <c r="L17" s="4" t="s">
        <v>138</v>
      </c>
      <c r="M17" s="4" t="s">
        <v>139</v>
      </c>
      <c r="N17" s="4"/>
      <c r="O17" s="4" t="s">
        <v>29</v>
      </c>
      <c r="P17" s="5" t="s">
        <v>30</v>
      </c>
      <c r="Q17" s="5"/>
    </row>
    <row r="18" customFormat="false" ht="23.25" hidden="false" customHeight="true" outlineLevel="0" collapsed="false">
      <c r="A18" s="4" t="n">
        <v>17</v>
      </c>
      <c r="B18" s="4" t="s">
        <v>17</v>
      </c>
      <c r="C18" s="4" t="s">
        <v>18</v>
      </c>
      <c r="D18" s="4" t="s">
        <v>133</v>
      </c>
      <c r="E18" s="4" t="s">
        <v>140</v>
      </c>
      <c r="F18" s="4" t="s">
        <v>141</v>
      </c>
      <c r="G18" s="4"/>
      <c r="H18" s="4" t="s">
        <v>142</v>
      </c>
      <c r="I18" s="4" t="s">
        <v>24</v>
      </c>
      <c r="J18" s="4" t="s">
        <v>25</v>
      </c>
      <c r="K18" s="4" t="s">
        <v>143</v>
      </c>
      <c r="L18" s="4" t="s">
        <v>144</v>
      </c>
      <c r="M18" s="4" t="s">
        <v>145</v>
      </c>
      <c r="N18" s="4"/>
      <c r="O18" s="4" t="s">
        <v>29</v>
      </c>
      <c r="P18" s="5" t="s">
        <v>30</v>
      </c>
      <c r="Q18" s="5"/>
    </row>
    <row r="19" customFormat="false" ht="23.25" hidden="false" customHeight="true" outlineLevel="0" collapsed="false">
      <c r="A19" s="4" t="n">
        <v>18</v>
      </c>
      <c r="B19" s="4" t="s">
        <v>17</v>
      </c>
      <c r="C19" s="4" t="s">
        <v>31</v>
      </c>
      <c r="D19" s="4" t="s">
        <v>101</v>
      </c>
      <c r="E19" s="4" t="s">
        <v>146</v>
      </c>
      <c r="F19" s="4" t="s">
        <v>147</v>
      </c>
      <c r="G19" s="4" t="s">
        <v>148</v>
      </c>
      <c r="H19" s="4" t="s">
        <v>149</v>
      </c>
      <c r="I19" s="4" t="s">
        <v>24</v>
      </c>
      <c r="J19" s="4" t="s">
        <v>25</v>
      </c>
      <c r="K19" s="4" t="s">
        <v>150</v>
      </c>
      <c r="L19" s="4" t="s">
        <v>151</v>
      </c>
      <c r="M19" s="4" t="s">
        <v>152</v>
      </c>
      <c r="N19" s="4"/>
      <c r="O19" s="4" t="s">
        <v>29</v>
      </c>
      <c r="P19" s="5" t="s">
        <v>30</v>
      </c>
      <c r="Q19" s="5"/>
    </row>
    <row r="20" customFormat="false" ht="23.25" hidden="false" customHeight="true" outlineLevel="0" collapsed="false">
      <c r="A20" s="4" t="n">
        <v>19</v>
      </c>
      <c r="B20" s="4" t="s">
        <v>17</v>
      </c>
      <c r="C20" s="4" t="s">
        <v>31</v>
      </c>
      <c r="D20" s="4" t="s">
        <v>153</v>
      </c>
      <c r="E20" s="4" t="s">
        <v>154</v>
      </c>
      <c r="F20" s="4" t="s">
        <v>155</v>
      </c>
      <c r="G20" s="4" t="s">
        <v>156</v>
      </c>
      <c r="H20" s="4" t="s">
        <v>157</v>
      </c>
      <c r="I20" s="4" t="s">
        <v>24</v>
      </c>
      <c r="J20" s="4" t="s">
        <v>25</v>
      </c>
      <c r="K20" s="4" t="s">
        <v>158</v>
      </c>
      <c r="L20" s="4" t="s">
        <v>159</v>
      </c>
      <c r="M20" s="4" t="s">
        <v>160</v>
      </c>
      <c r="N20" s="4"/>
      <c r="O20" s="4" t="s">
        <v>29</v>
      </c>
      <c r="P20" s="5" t="s">
        <v>30</v>
      </c>
      <c r="Q20" s="5"/>
    </row>
    <row r="21" customFormat="false" ht="15" hidden="false" customHeight="true" outlineLevel="0" collapsed="false">
      <c r="A21" s="4" t="n">
        <v>20</v>
      </c>
      <c r="B21" s="4" t="s">
        <v>17</v>
      </c>
      <c r="C21" s="4" t="s">
        <v>31</v>
      </c>
      <c r="D21" s="4" t="s">
        <v>19</v>
      </c>
      <c r="E21" s="4" t="s">
        <v>161</v>
      </c>
      <c r="F21" s="4" t="s">
        <v>162</v>
      </c>
      <c r="G21" s="4"/>
      <c r="H21" s="4" t="s">
        <v>163</v>
      </c>
      <c r="I21" s="4" t="s">
        <v>24</v>
      </c>
      <c r="J21" s="4" t="s">
        <v>25</v>
      </c>
      <c r="K21" s="4" t="s">
        <v>164</v>
      </c>
      <c r="L21" s="4" t="s">
        <v>165</v>
      </c>
      <c r="M21" s="4" t="s">
        <v>166</v>
      </c>
      <c r="N21" s="4"/>
      <c r="O21" s="4" t="s">
        <v>29</v>
      </c>
      <c r="P21" s="5" t="s">
        <v>30</v>
      </c>
      <c r="Q21" s="5"/>
    </row>
    <row r="22" customFormat="false" ht="15" hidden="false" customHeight="true" outlineLevel="0" collapsed="false">
      <c r="A22" s="4" t="n">
        <v>21</v>
      </c>
      <c r="B22" s="4" t="s">
        <v>17</v>
      </c>
      <c r="C22" s="4" t="s">
        <v>31</v>
      </c>
      <c r="D22" s="4" t="s">
        <v>19</v>
      </c>
      <c r="E22" s="4" t="s">
        <v>167</v>
      </c>
      <c r="F22" s="4" t="s">
        <v>168</v>
      </c>
      <c r="G22" s="4"/>
      <c r="H22" s="4" t="s">
        <v>169</v>
      </c>
      <c r="I22" s="4" t="s">
        <v>24</v>
      </c>
      <c r="J22" s="4" t="s">
        <v>25</v>
      </c>
      <c r="K22" s="4" t="s">
        <v>170</v>
      </c>
      <c r="L22" s="4" t="s">
        <v>171</v>
      </c>
      <c r="M22" s="4" t="s">
        <v>172</v>
      </c>
      <c r="N22" s="4"/>
      <c r="O22" s="4" t="s">
        <v>29</v>
      </c>
      <c r="P22" s="5" t="s">
        <v>30</v>
      </c>
      <c r="Q22" s="5"/>
    </row>
    <row r="23" customFormat="false" ht="15" hidden="false" customHeight="true" outlineLevel="0" collapsed="false">
      <c r="A23" s="4" t="n">
        <v>22</v>
      </c>
      <c r="B23" s="4" t="s">
        <v>17</v>
      </c>
      <c r="C23" s="4" t="s">
        <v>39</v>
      </c>
      <c r="D23" s="4" t="s">
        <v>153</v>
      </c>
      <c r="E23" s="4" t="s">
        <v>173</v>
      </c>
      <c r="F23" s="4" t="s">
        <v>174</v>
      </c>
      <c r="G23" s="4"/>
      <c r="H23" s="4" t="s">
        <v>175</v>
      </c>
      <c r="I23" s="4" t="s">
        <v>24</v>
      </c>
      <c r="J23" s="4" t="s">
        <v>25</v>
      </c>
      <c r="K23" s="4" t="s">
        <v>176</v>
      </c>
      <c r="L23" s="4" t="s">
        <v>177</v>
      </c>
      <c r="M23" s="4" t="s">
        <v>178</v>
      </c>
      <c r="N23" s="4"/>
      <c r="O23" s="4" t="s">
        <v>29</v>
      </c>
      <c r="P23" s="5" t="s">
        <v>30</v>
      </c>
      <c r="Q23" s="5"/>
    </row>
    <row r="24" customFormat="false" ht="15" hidden="false" customHeight="true" outlineLevel="0" collapsed="false">
      <c r="A24" s="4" t="n">
        <v>23</v>
      </c>
      <c r="B24" s="4" t="s">
        <v>17</v>
      </c>
      <c r="C24" s="4" t="s">
        <v>179</v>
      </c>
      <c r="D24" s="4" t="s">
        <v>78</v>
      </c>
      <c r="E24" s="4" t="s">
        <v>180</v>
      </c>
      <c r="F24" s="4" t="s">
        <v>181</v>
      </c>
      <c r="G24" s="4"/>
      <c r="H24" s="4" t="s">
        <v>182</v>
      </c>
      <c r="I24" s="4" t="s">
        <v>24</v>
      </c>
      <c r="J24" s="4" t="s">
        <v>25</v>
      </c>
      <c r="K24" s="4" t="s">
        <v>183</v>
      </c>
      <c r="L24" s="4" t="s">
        <v>184</v>
      </c>
      <c r="M24" s="4" t="s">
        <v>185</v>
      </c>
      <c r="N24" s="4"/>
      <c r="O24" s="4" t="s">
        <v>29</v>
      </c>
      <c r="P24" s="5" t="s">
        <v>30</v>
      </c>
      <c r="Q24" s="5"/>
    </row>
    <row r="25" customFormat="false" ht="15" hidden="false" customHeight="true" outlineLevel="0" collapsed="false">
      <c r="A25" s="4" t="n">
        <v>24</v>
      </c>
      <c r="B25" s="4" t="s">
        <v>17</v>
      </c>
      <c r="C25" s="4" t="s">
        <v>186</v>
      </c>
      <c r="D25" s="4" t="s">
        <v>78</v>
      </c>
      <c r="E25" s="4" t="s">
        <v>187</v>
      </c>
      <c r="F25" s="4" t="s">
        <v>188</v>
      </c>
      <c r="G25" s="4" t="s">
        <v>189</v>
      </c>
      <c r="H25" s="4" t="s">
        <v>190</v>
      </c>
      <c r="I25" s="4" t="s">
        <v>24</v>
      </c>
      <c r="J25" s="4" t="s">
        <v>25</v>
      </c>
      <c r="K25" s="4" t="s">
        <v>191</v>
      </c>
      <c r="L25" s="4" t="s">
        <v>192</v>
      </c>
      <c r="M25" s="4" t="s">
        <v>193</v>
      </c>
      <c r="N25" s="4"/>
      <c r="O25" s="4" t="s">
        <v>29</v>
      </c>
      <c r="P25" s="5" t="s">
        <v>30</v>
      </c>
      <c r="Q25" s="5"/>
    </row>
    <row r="26" customFormat="false" ht="23.25" hidden="false" customHeight="true" outlineLevel="0" collapsed="false">
      <c r="A26" s="4" t="n">
        <v>25</v>
      </c>
      <c r="B26" s="4" t="s">
        <v>17</v>
      </c>
      <c r="C26" s="4" t="s">
        <v>194</v>
      </c>
      <c r="D26" s="4" t="s">
        <v>153</v>
      </c>
      <c r="E26" s="4" t="s">
        <v>195</v>
      </c>
      <c r="F26" s="4" t="s">
        <v>196</v>
      </c>
      <c r="G26" s="4"/>
      <c r="H26" s="4" t="s">
        <v>197</v>
      </c>
      <c r="I26" s="4" t="s">
        <v>24</v>
      </c>
      <c r="J26" s="4" t="s">
        <v>25</v>
      </c>
      <c r="K26" s="4" t="s">
        <v>198</v>
      </c>
      <c r="L26" s="4" t="s">
        <v>199</v>
      </c>
      <c r="M26" s="4" t="s">
        <v>200</v>
      </c>
      <c r="N26" s="4"/>
      <c r="O26" s="4" t="s">
        <v>29</v>
      </c>
      <c r="P26" s="5" t="s">
        <v>30</v>
      </c>
      <c r="Q26" s="5"/>
    </row>
    <row r="27" customFormat="false" ht="15" hidden="false" customHeight="true" outlineLevel="0" collapsed="false">
      <c r="A27" s="4" t="n">
        <v>26</v>
      </c>
      <c r="B27" s="4" t="s">
        <v>17</v>
      </c>
      <c r="C27" s="4" t="s">
        <v>201</v>
      </c>
      <c r="D27" s="4" t="s">
        <v>78</v>
      </c>
      <c r="E27" s="4" t="s">
        <v>202</v>
      </c>
      <c r="F27" s="4" t="s">
        <v>203</v>
      </c>
      <c r="G27" s="4"/>
      <c r="H27" s="4" t="s">
        <v>204</v>
      </c>
      <c r="I27" s="4" t="s">
        <v>24</v>
      </c>
      <c r="J27" s="4" t="s">
        <v>25</v>
      </c>
      <c r="K27" s="4" t="s">
        <v>205</v>
      </c>
      <c r="L27" s="4" t="s">
        <v>206</v>
      </c>
      <c r="M27" s="4" t="s">
        <v>207</v>
      </c>
      <c r="N27" s="4"/>
      <c r="O27" s="4" t="s">
        <v>29</v>
      </c>
      <c r="P27" s="5" t="s">
        <v>30</v>
      </c>
      <c r="Q27" s="5"/>
    </row>
    <row r="28" customFormat="false" ht="23.25" hidden="false" customHeight="true" outlineLevel="0" collapsed="false">
      <c r="A28" s="4" t="n">
        <v>27</v>
      </c>
      <c r="B28" s="4" t="s">
        <v>17</v>
      </c>
      <c r="C28" s="4" t="s">
        <v>208</v>
      </c>
      <c r="D28" s="4" t="s">
        <v>78</v>
      </c>
      <c r="E28" s="4" t="s">
        <v>209</v>
      </c>
      <c r="F28" s="4" t="s">
        <v>210</v>
      </c>
      <c r="G28" s="4"/>
      <c r="H28" s="4" t="s">
        <v>211</v>
      </c>
      <c r="I28" s="4" t="s">
        <v>24</v>
      </c>
      <c r="J28" s="4" t="s">
        <v>25</v>
      </c>
      <c r="K28" s="4" t="s">
        <v>212</v>
      </c>
      <c r="L28" s="4" t="s">
        <v>213</v>
      </c>
      <c r="M28" s="4" t="s">
        <v>214</v>
      </c>
      <c r="N28" s="4"/>
      <c r="O28" s="4" t="s">
        <v>29</v>
      </c>
      <c r="P28" s="5" t="s">
        <v>30</v>
      </c>
      <c r="Q28" s="5"/>
    </row>
    <row r="29" customFormat="false" ht="23.25" hidden="false" customHeight="true" outlineLevel="0" collapsed="false">
      <c r="A29" s="4" t="n">
        <v>28</v>
      </c>
      <c r="B29" s="4" t="s">
        <v>17</v>
      </c>
      <c r="C29" s="4" t="s">
        <v>85</v>
      </c>
      <c r="D29" s="4" t="s">
        <v>101</v>
      </c>
      <c r="E29" s="4" t="s">
        <v>215</v>
      </c>
      <c r="F29" s="4" t="s">
        <v>216</v>
      </c>
      <c r="G29" s="4"/>
      <c r="H29" s="4" t="s">
        <v>217</v>
      </c>
      <c r="I29" s="4" t="s">
        <v>24</v>
      </c>
      <c r="J29" s="4" t="s">
        <v>25</v>
      </c>
      <c r="K29" s="4" t="s">
        <v>218</v>
      </c>
      <c r="L29" s="4" t="s">
        <v>219</v>
      </c>
      <c r="M29" s="4" t="s">
        <v>220</v>
      </c>
      <c r="N29" s="4"/>
      <c r="O29" s="4" t="s">
        <v>29</v>
      </c>
      <c r="P29" s="5" t="s">
        <v>30</v>
      </c>
      <c r="Q29" s="5"/>
    </row>
    <row r="30" customFormat="false" ht="23.25" hidden="false" customHeight="true" outlineLevel="0" collapsed="false">
      <c r="A30" s="4" t="n">
        <v>29</v>
      </c>
      <c r="B30" s="4" t="s">
        <v>17</v>
      </c>
      <c r="C30" s="4" t="s">
        <v>221</v>
      </c>
      <c r="D30" s="4" t="s">
        <v>222</v>
      </c>
      <c r="E30" s="4" t="s">
        <v>223</v>
      </c>
      <c r="F30" s="4" t="s">
        <v>224</v>
      </c>
      <c r="G30" s="4"/>
      <c r="H30" s="4" t="s">
        <v>225</v>
      </c>
      <c r="I30" s="4" t="s">
        <v>24</v>
      </c>
      <c r="J30" s="4" t="s">
        <v>25</v>
      </c>
      <c r="K30" s="4" t="s">
        <v>226</v>
      </c>
      <c r="L30" s="4" t="s">
        <v>227</v>
      </c>
      <c r="M30" s="4" t="s">
        <v>228</v>
      </c>
      <c r="N30" s="4"/>
      <c r="O30" s="4" t="s">
        <v>29</v>
      </c>
      <c r="P30" s="5" t="s">
        <v>30</v>
      </c>
      <c r="Q30" s="5"/>
    </row>
    <row r="31" customFormat="false" ht="15" hidden="false" customHeight="true" outlineLevel="0" collapsed="false">
      <c r="A31" s="4" t="n">
        <v>30</v>
      </c>
      <c r="B31" s="4" t="s">
        <v>17</v>
      </c>
      <c r="C31" s="4" t="s">
        <v>92</v>
      </c>
      <c r="D31" s="4" t="s">
        <v>19</v>
      </c>
      <c r="E31" s="4" t="s">
        <v>229</v>
      </c>
      <c r="F31" s="4" t="s">
        <v>230</v>
      </c>
      <c r="G31" s="4"/>
      <c r="H31" s="4" t="s">
        <v>231</v>
      </c>
      <c r="I31" s="4" t="s">
        <v>24</v>
      </c>
      <c r="J31" s="4" t="s">
        <v>25</v>
      </c>
      <c r="K31" s="4" t="s">
        <v>232</v>
      </c>
      <c r="L31" s="4" t="s">
        <v>233</v>
      </c>
      <c r="M31" s="4" t="s">
        <v>234</v>
      </c>
      <c r="N31" s="4"/>
      <c r="O31" s="4" t="s">
        <v>29</v>
      </c>
      <c r="P31" s="5" t="s">
        <v>30</v>
      </c>
      <c r="Q31" s="5"/>
    </row>
    <row r="32" customFormat="false" ht="15" hidden="false" customHeight="true" outlineLevel="0" collapsed="false">
      <c r="A32" s="4" t="n">
        <v>31</v>
      </c>
      <c r="B32" s="4" t="s">
        <v>17</v>
      </c>
      <c r="C32" s="4" t="s">
        <v>92</v>
      </c>
      <c r="D32" s="4" t="s">
        <v>235</v>
      </c>
      <c r="E32" s="4" t="s">
        <v>236</v>
      </c>
      <c r="F32" s="4" t="s">
        <v>237</v>
      </c>
      <c r="G32" s="4"/>
      <c r="H32" s="4" t="s">
        <v>238</v>
      </c>
      <c r="I32" s="4" t="s">
        <v>24</v>
      </c>
      <c r="J32" s="4" t="s">
        <v>25</v>
      </c>
      <c r="K32" s="4" t="s">
        <v>239</v>
      </c>
      <c r="L32" s="4" t="s">
        <v>240</v>
      </c>
      <c r="M32" s="4" t="s">
        <v>241</v>
      </c>
      <c r="N32" s="4"/>
      <c r="O32" s="4" t="s">
        <v>29</v>
      </c>
      <c r="P32" s="5" t="s">
        <v>30</v>
      </c>
      <c r="Q32" s="5"/>
    </row>
    <row r="33" customFormat="false" ht="23.25" hidden="false" customHeight="true" outlineLevel="0" collapsed="false">
      <c r="A33" s="4" t="n">
        <v>32</v>
      </c>
      <c r="B33" s="4" t="s">
        <v>17</v>
      </c>
      <c r="C33" s="4" t="s">
        <v>194</v>
      </c>
      <c r="D33" s="4" t="s">
        <v>93</v>
      </c>
      <c r="E33" s="4" t="s">
        <v>242</v>
      </c>
      <c r="F33" s="4" t="s">
        <v>243</v>
      </c>
      <c r="G33" s="4"/>
      <c r="H33" s="4" t="s">
        <v>244</v>
      </c>
      <c r="I33" s="4" t="s">
        <v>24</v>
      </c>
      <c r="J33" s="4" t="s">
        <v>25</v>
      </c>
      <c r="K33" s="4" t="s">
        <v>245</v>
      </c>
      <c r="L33" s="4" t="s">
        <v>246</v>
      </c>
      <c r="M33" s="4" t="s">
        <v>247</v>
      </c>
      <c r="N33" s="4"/>
      <c r="O33" s="4" t="s">
        <v>29</v>
      </c>
      <c r="P33" s="5" t="s">
        <v>30</v>
      </c>
      <c r="Q33" s="5"/>
    </row>
    <row r="34" customFormat="false" ht="23.25" hidden="false" customHeight="true" outlineLevel="0" collapsed="false">
      <c r="A34" s="4" t="n">
        <v>33</v>
      </c>
      <c r="B34" s="4" t="s">
        <v>17</v>
      </c>
      <c r="C34" s="4" t="s">
        <v>248</v>
      </c>
      <c r="D34" s="4" t="s">
        <v>19</v>
      </c>
      <c r="E34" s="4" t="s">
        <v>249</v>
      </c>
      <c r="F34" s="4" t="s">
        <v>250</v>
      </c>
      <c r="G34" s="4"/>
      <c r="H34" s="4" t="s">
        <v>251</v>
      </c>
      <c r="I34" s="4" t="s">
        <v>24</v>
      </c>
      <c r="J34" s="4" t="s">
        <v>25</v>
      </c>
      <c r="K34" s="4" t="s">
        <v>252</v>
      </c>
      <c r="L34" s="4" t="s">
        <v>253</v>
      </c>
      <c r="M34" s="4" t="s">
        <v>254</v>
      </c>
      <c r="N34" s="4"/>
      <c r="O34" s="4" t="s">
        <v>29</v>
      </c>
      <c r="P34" s="5" t="s">
        <v>30</v>
      </c>
      <c r="Q34" s="5"/>
    </row>
    <row r="35" customFormat="false" ht="15" hidden="false" customHeight="true" outlineLevel="0" collapsed="false">
      <c r="A35" s="4" t="n">
        <v>34</v>
      </c>
      <c r="B35" s="4" t="s">
        <v>17</v>
      </c>
      <c r="C35" s="4" t="s">
        <v>248</v>
      </c>
      <c r="D35" s="4" t="s">
        <v>153</v>
      </c>
      <c r="E35" s="4" t="s">
        <v>255</v>
      </c>
      <c r="F35" s="4" t="s">
        <v>256</v>
      </c>
      <c r="G35" s="4"/>
      <c r="H35" s="4" t="s">
        <v>257</v>
      </c>
      <c r="I35" s="4" t="s">
        <v>24</v>
      </c>
      <c r="J35" s="4" t="s">
        <v>25</v>
      </c>
      <c r="K35" s="4" t="s">
        <v>258</v>
      </c>
      <c r="L35" s="4" t="s">
        <v>259</v>
      </c>
      <c r="M35" s="4" t="s">
        <v>260</v>
      </c>
      <c r="N35" s="4"/>
      <c r="O35" s="4" t="s">
        <v>29</v>
      </c>
      <c r="P35" s="5" t="s">
        <v>30</v>
      </c>
      <c r="Q35" s="5"/>
    </row>
    <row r="36" customFormat="false" ht="23.25" hidden="false" customHeight="true" outlineLevel="0" collapsed="false">
      <c r="A36" s="4" t="n">
        <v>35</v>
      </c>
      <c r="B36" s="4" t="s">
        <v>17</v>
      </c>
      <c r="C36" s="4" t="s">
        <v>39</v>
      </c>
      <c r="D36" s="4" t="s">
        <v>235</v>
      </c>
      <c r="E36" s="4" t="s">
        <v>261</v>
      </c>
      <c r="F36" s="4" t="s">
        <v>262</v>
      </c>
      <c r="G36" s="4" t="s">
        <v>263</v>
      </c>
      <c r="H36" s="4" t="s">
        <v>264</v>
      </c>
      <c r="I36" s="4" t="s">
        <v>24</v>
      </c>
      <c r="J36" s="4" t="s">
        <v>25</v>
      </c>
      <c r="K36" s="4" t="s">
        <v>265</v>
      </c>
      <c r="L36" s="4" t="s">
        <v>266</v>
      </c>
      <c r="M36" s="4" t="s">
        <v>267</v>
      </c>
      <c r="N36" s="4"/>
      <c r="O36" s="4" t="s">
        <v>29</v>
      </c>
      <c r="P36" s="5" t="s">
        <v>30</v>
      </c>
      <c r="Q36" s="5"/>
    </row>
    <row r="37" customFormat="false" ht="23.25" hidden="false" customHeight="true" outlineLevel="0" collapsed="false">
      <c r="A37" s="4" t="n">
        <v>36</v>
      </c>
      <c r="B37" s="4" t="s">
        <v>17</v>
      </c>
      <c r="C37" s="4" t="s">
        <v>39</v>
      </c>
      <c r="D37" s="4" t="s">
        <v>19</v>
      </c>
      <c r="E37" s="4" t="s">
        <v>268</v>
      </c>
      <c r="F37" s="4" t="s">
        <v>269</v>
      </c>
      <c r="G37" s="4"/>
      <c r="H37" s="4" t="s">
        <v>270</v>
      </c>
      <c r="I37" s="4" t="s">
        <v>24</v>
      </c>
      <c r="J37" s="4" t="s">
        <v>25</v>
      </c>
      <c r="K37" s="4" t="s">
        <v>271</v>
      </c>
      <c r="L37" s="4" t="s">
        <v>272</v>
      </c>
      <c r="M37" s="4" t="s">
        <v>273</v>
      </c>
      <c r="N37" s="4"/>
      <c r="O37" s="4" t="s">
        <v>29</v>
      </c>
      <c r="P37" s="5" t="s">
        <v>30</v>
      </c>
      <c r="Q37" s="5"/>
    </row>
    <row r="38" customFormat="false" ht="15" hidden="false" customHeight="true" outlineLevel="0" collapsed="false">
      <c r="A38" s="4" t="n">
        <v>37</v>
      </c>
      <c r="B38" s="4" t="s">
        <v>17</v>
      </c>
      <c r="C38" s="4" t="s">
        <v>186</v>
      </c>
      <c r="D38" s="4" t="s">
        <v>19</v>
      </c>
      <c r="E38" s="4" t="s">
        <v>274</v>
      </c>
      <c r="F38" s="4" t="s">
        <v>275</v>
      </c>
      <c r="G38" s="4"/>
      <c r="H38" s="4" t="s">
        <v>276</v>
      </c>
      <c r="I38" s="4" t="s">
        <v>24</v>
      </c>
      <c r="J38" s="4" t="s">
        <v>25</v>
      </c>
      <c r="K38" s="4" t="s">
        <v>277</v>
      </c>
      <c r="L38" s="4" t="s">
        <v>278</v>
      </c>
      <c r="M38" s="4" t="s">
        <v>279</v>
      </c>
      <c r="N38" s="4"/>
      <c r="O38" s="4" t="s">
        <v>29</v>
      </c>
      <c r="P38" s="5" t="s">
        <v>30</v>
      </c>
      <c r="Q38" s="5"/>
    </row>
    <row r="39" customFormat="false" ht="23.25" hidden="false" customHeight="true" outlineLevel="0" collapsed="false">
      <c r="A39" s="4" t="n">
        <v>38</v>
      </c>
      <c r="B39" s="4" t="s">
        <v>17</v>
      </c>
      <c r="C39" s="4" t="s">
        <v>280</v>
      </c>
      <c r="D39" s="4" t="s">
        <v>93</v>
      </c>
      <c r="E39" s="4" t="s">
        <v>281</v>
      </c>
      <c r="F39" s="4" t="s">
        <v>282</v>
      </c>
      <c r="G39" s="4"/>
      <c r="H39" s="4" t="s">
        <v>283</v>
      </c>
      <c r="I39" s="4" t="s">
        <v>24</v>
      </c>
      <c r="J39" s="4" t="s">
        <v>25</v>
      </c>
      <c r="K39" s="4" t="s">
        <v>284</v>
      </c>
      <c r="L39" s="4" t="s">
        <v>285</v>
      </c>
      <c r="M39" s="4" t="s">
        <v>286</v>
      </c>
      <c r="N39" s="4"/>
      <c r="O39" s="4" t="s">
        <v>29</v>
      </c>
      <c r="P39" s="5" t="s">
        <v>30</v>
      </c>
      <c r="Q39" s="5"/>
    </row>
    <row r="40" customFormat="false" ht="23.25" hidden="false" customHeight="true" outlineLevel="0" collapsed="false">
      <c r="A40" s="4" t="n">
        <v>39</v>
      </c>
      <c r="B40" s="4" t="s">
        <v>17</v>
      </c>
      <c r="C40" s="4" t="s">
        <v>287</v>
      </c>
      <c r="D40" s="4" t="s">
        <v>78</v>
      </c>
      <c r="E40" s="4" t="s">
        <v>288</v>
      </c>
      <c r="F40" s="4" t="s">
        <v>289</v>
      </c>
      <c r="G40" s="4"/>
      <c r="H40" s="4" t="s">
        <v>290</v>
      </c>
      <c r="I40" s="4" t="s">
        <v>24</v>
      </c>
      <c r="J40" s="4" t="s">
        <v>25</v>
      </c>
      <c r="K40" s="4" t="s">
        <v>291</v>
      </c>
      <c r="L40" s="4" t="s">
        <v>292</v>
      </c>
      <c r="M40" s="4" t="s">
        <v>293</v>
      </c>
      <c r="N40" s="4"/>
      <c r="O40" s="4" t="s">
        <v>29</v>
      </c>
      <c r="P40" s="5" t="s">
        <v>30</v>
      </c>
      <c r="Q40" s="5"/>
    </row>
    <row r="41" customFormat="false" ht="23.25" hidden="false" customHeight="true" outlineLevel="0" collapsed="false">
      <c r="A41" s="4" t="n">
        <v>40</v>
      </c>
      <c r="B41" s="4" t="s">
        <v>17</v>
      </c>
      <c r="C41" s="4" t="s">
        <v>294</v>
      </c>
      <c r="D41" s="4" t="s">
        <v>19</v>
      </c>
      <c r="E41" s="4" t="s">
        <v>295</v>
      </c>
      <c r="F41" s="4" t="s">
        <v>296</v>
      </c>
      <c r="G41" s="4"/>
      <c r="H41" s="4" t="s">
        <v>297</v>
      </c>
      <c r="I41" s="4" t="s">
        <v>24</v>
      </c>
      <c r="J41" s="4" t="s">
        <v>25</v>
      </c>
      <c r="K41" s="4" t="s">
        <v>298</v>
      </c>
      <c r="L41" s="4" t="s">
        <v>299</v>
      </c>
      <c r="M41" s="4" t="s">
        <v>300</v>
      </c>
      <c r="N41" s="4"/>
      <c r="O41" s="4" t="s">
        <v>29</v>
      </c>
      <c r="P41" s="5" t="s">
        <v>30</v>
      </c>
      <c r="Q41" s="5"/>
    </row>
    <row r="42" customFormat="false" ht="15" hidden="false" customHeight="true" outlineLevel="0" collapsed="false">
      <c r="A42" s="4" t="n">
        <v>41</v>
      </c>
      <c r="B42" s="4" t="s">
        <v>17</v>
      </c>
      <c r="C42" s="4" t="s">
        <v>301</v>
      </c>
      <c r="D42" s="4" t="s">
        <v>32</v>
      </c>
      <c r="E42" s="4" t="s">
        <v>302</v>
      </c>
      <c r="F42" s="4" t="s">
        <v>303</v>
      </c>
      <c r="G42" s="4"/>
      <c r="H42" s="4" t="s">
        <v>304</v>
      </c>
      <c r="I42" s="4" t="s">
        <v>24</v>
      </c>
      <c r="J42" s="4" t="s">
        <v>25</v>
      </c>
      <c r="K42" s="4" t="s">
        <v>305</v>
      </c>
      <c r="L42" s="4" t="s">
        <v>306</v>
      </c>
      <c r="M42" s="4" t="s">
        <v>307</v>
      </c>
      <c r="N42" s="4"/>
      <c r="O42" s="4" t="s">
        <v>29</v>
      </c>
      <c r="P42" s="5" t="s">
        <v>30</v>
      </c>
      <c r="Q42" s="5"/>
    </row>
    <row r="43" customFormat="false" ht="23.25" hidden="false" customHeight="true" outlineLevel="0" collapsed="false">
      <c r="A43" s="4" t="n">
        <v>42</v>
      </c>
      <c r="B43" s="4" t="s">
        <v>17</v>
      </c>
      <c r="C43" s="4" t="s">
        <v>221</v>
      </c>
      <c r="D43" s="4" t="s">
        <v>32</v>
      </c>
      <c r="E43" s="4" t="s">
        <v>308</v>
      </c>
      <c r="F43" s="4" t="s">
        <v>309</v>
      </c>
      <c r="G43" s="4"/>
      <c r="H43" s="4" t="s">
        <v>310</v>
      </c>
      <c r="I43" s="4" t="s">
        <v>24</v>
      </c>
      <c r="J43" s="4" t="s">
        <v>25</v>
      </c>
      <c r="K43" s="4" t="s">
        <v>311</v>
      </c>
      <c r="L43" s="4" t="s">
        <v>312</v>
      </c>
      <c r="M43" s="4" t="s">
        <v>313</v>
      </c>
      <c r="N43" s="4"/>
      <c r="O43" s="4" t="s">
        <v>29</v>
      </c>
      <c r="P43" s="5" t="s">
        <v>30</v>
      </c>
      <c r="Q43" s="5"/>
    </row>
    <row r="44" customFormat="false" ht="23.25" hidden="false" customHeight="true" outlineLevel="0" collapsed="false">
      <c r="A44" s="4" t="n">
        <v>43</v>
      </c>
      <c r="B44" s="4" t="s">
        <v>48</v>
      </c>
      <c r="C44" s="4" t="s">
        <v>64</v>
      </c>
      <c r="D44" s="4" t="s">
        <v>19</v>
      </c>
      <c r="E44" s="4" t="s">
        <v>314</v>
      </c>
      <c r="F44" s="4" t="s">
        <v>315</v>
      </c>
      <c r="G44" s="4" t="s">
        <v>316</v>
      </c>
      <c r="H44" s="4" t="s">
        <v>317</v>
      </c>
      <c r="I44" s="4" t="s">
        <v>24</v>
      </c>
      <c r="J44" s="4" t="s">
        <v>25</v>
      </c>
      <c r="K44" s="4" t="s">
        <v>318</v>
      </c>
      <c r="L44" s="4" t="s">
        <v>319</v>
      </c>
      <c r="M44" s="4" t="s">
        <v>320</v>
      </c>
      <c r="N44" s="4"/>
      <c r="O44" s="4" t="s">
        <v>29</v>
      </c>
      <c r="P44" s="5" t="s">
        <v>30</v>
      </c>
      <c r="Q44" s="5"/>
    </row>
    <row r="45" customFormat="false" ht="23.25" hidden="false" customHeight="true" outlineLevel="0" collapsed="false">
      <c r="A45" s="4" t="n">
        <v>44</v>
      </c>
      <c r="B45" s="4" t="s">
        <v>48</v>
      </c>
      <c r="C45" s="4" t="s">
        <v>64</v>
      </c>
      <c r="D45" s="4" t="s">
        <v>19</v>
      </c>
      <c r="E45" s="4" t="s">
        <v>321</v>
      </c>
      <c r="F45" s="4" t="s">
        <v>322</v>
      </c>
      <c r="G45" s="4"/>
      <c r="H45" s="4" t="s">
        <v>323</v>
      </c>
      <c r="I45" s="4" t="s">
        <v>24</v>
      </c>
      <c r="J45" s="4" t="s">
        <v>25</v>
      </c>
      <c r="K45" s="4" t="s">
        <v>324</v>
      </c>
      <c r="L45" s="4" t="s">
        <v>325</v>
      </c>
      <c r="M45" s="4" t="s">
        <v>326</v>
      </c>
      <c r="N45" s="4"/>
      <c r="O45" s="4" t="s">
        <v>29</v>
      </c>
      <c r="P45" s="5" t="s">
        <v>30</v>
      </c>
      <c r="Q45" s="5"/>
    </row>
    <row r="46" customFormat="false" ht="23.25" hidden="false" customHeight="true" outlineLevel="0" collapsed="false">
      <c r="A46" s="4" t="n">
        <v>45</v>
      </c>
      <c r="B46" s="4" t="s">
        <v>48</v>
      </c>
      <c r="C46" s="4" t="s">
        <v>327</v>
      </c>
      <c r="D46" s="4" t="s">
        <v>235</v>
      </c>
      <c r="E46" s="4" t="s">
        <v>328</v>
      </c>
      <c r="F46" s="4" t="s">
        <v>329</v>
      </c>
      <c r="G46" s="4"/>
      <c r="H46" s="4" t="s">
        <v>330</v>
      </c>
      <c r="I46" s="4" t="s">
        <v>24</v>
      </c>
      <c r="J46" s="4" t="s">
        <v>25</v>
      </c>
      <c r="K46" s="4" t="s">
        <v>331</v>
      </c>
      <c r="L46" s="4" t="s">
        <v>332</v>
      </c>
      <c r="M46" s="4" t="s">
        <v>333</v>
      </c>
      <c r="N46" s="4"/>
      <c r="O46" s="4" t="s">
        <v>29</v>
      </c>
      <c r="P46" s="5" t="s">
        <v>30</v>
      </c>
      <c r="Q46" s="5"/>
    </row>
    <row r="47" customFormat="false" ht="15" hidden="false" customHeight="true" outlineLevel="0" collapsed="false">
      <c r="A47" s="4" t="n">
        <v>46</v>
      </c>
      <c r="B47" s="4" t="s">
        <v>48</v>
      </c>
      <c r="C47" s="4" t="s">
        <v>334</v>
      </c>
      <c r="D47" s="4" t="s">
        <v>50</v>
      </c>
      <c r="E47" s="4" t="s">
        <v>335</v>
      </c>
      <c r="F47" s="4" t="s">
        <v>335</v>
      </c>
      <c r="G47" s="4"/>
      <c r="H47" s="4" t="s">
        <v>336</v>
      </c>
      <c r="I47" s="4" t="s">
        <v>24</v>
      </c>
      <c r="J47" s="4" t="s">
        <v>25</v>
      </c>
      <c r="K47" s="4" t="s">
        <v>337</v>
      </c>
      <c r="L47" s="4" t="s">
        <v>338</v>
      </c>
      <c r="M47" s="4" t="s">
        <v>339</v>
      </c>
      <c r="N47" s="4"/>
      <c r="O47" s="4" t="s">
        <v>29</v>
      </c>
      <c r="P47" s="5" t="s">
        <v>30</v>
      </c>
      <c r="Q47" s="5"/>
    </row>
    <row r="48" customFormat="false" ht="34.5" hidden="false" customHeight="true" outlineLevel="0" collapsed="false">
      <c r="A48" s="6" t="n">
        <v>47</v>
      </c>
      <c r="B48" s="6" t="s">
        <v>17</v>
      </c>
      <c r="C48" s="6" t="s">
        <v>208</v>
      </c>
      <c r="D48" s="6" t="s">
        <v>19</v>
      </c>
      <c r="E48" s="6" t="s">
        <v>340</v>
      </c>
      <c r="F48" s="6" t="s">
        <v>341</v>
      </c>
      <c r="G48" s="6" t="s">
        <v>342</v>
      </c>
      <c r="H48" s="6" t="s">
        <v>343</v>
      </c>
      <c r="I48" s="6" t="s">
        <v>344</v>
      </c>
      <c r="J48" s="6"/>
      <c r="K48" s="6"/>
      <c r="L48" s="6"/>
      <c r="M48" s="6"/>
      <c r="N48" s="6" t="s">
        <v>345</v>
      </c>
      <c r="O48" s="6"/>
      <c r="P48" s="5"/>
      <c r="Q48" s="5"/>
    </row>
    <row r="49" customFormat="false" ht="23.25" hidden="false" customHeight="true" outlineLevel="0" collapsed="false">
      <c r="A49" s="6" t="n">
        <v>48</v>
      </c>
      <c r="B49" s="6" t="s">
        <v>48</v>
      </c>
      <c r="C49" s="6" t="s">
        <v>64</v>
      </c>
      <c r="D49" s="6" t="s">
        <v>19</v>
      </c>
      <c r="E49" s="6" t="s">
        <v>346</v>
      </c>
      <c r="F49" s="6" t="s">
        <v>347</v>
      </c>
      <c r="G49" s="6"/>
      <c r="H49" s="6" t="s">
        <v>348</v>
      </c>
      <c r="I49" s="6" t="s">
        <v>344</v>
      </c>
      <c r="J49" s="6"/>
      <c r="K49" s="6"/>
      <c r="L49" s="6"/>
      <c r="M49" s="6"/>
      <c r="N49" s="6" t="s">
        <v>349</v>
      </c>
      <c r="O49" s="6"/>
      <c r="P49" s="5"/>
      <c r="Q49" s="5"/>
    </row>
    <row r="50" customFormat="false" ht="15" hidden="false" customHeight="true" outlineLevel="0" collapsed="false">
      <c r="A50" s="6" t="n">
        <v>49</v>
      </c>
      <c r="B50" s="6" t="s">
        <v>17</v>
      </c>
      <c r="C50" s="6" t="s">
        <v>31</v>
      </c>
      <c r="D50" s="6" t="s">
        <v>93</v>
      </c>
      <c r="E50" s="6" t="s">
        <v>350</v>
      </c>
      <c r="F50" s="6" t="s">
        <v>351</v>
      </c>
      <c r="G50" s="6" t="s">
        <v>352</v>
      </c>
      <c r="H50" s="6"/>
      <c r="I50" s="6" t="s">
        <v>353</v>
      </c>
      <c r="J50" s="6"/>
      <c r="K50" s="6"/>
      <c r="L50" s="6"/>
      <c r="M50" s="6"/>
      <c r="N50" s="6" t="s">
        <v>354</v>
      </c>
      <c r="O50" s="6"/>
      <c r="P50" s="5"/>
      <c r="Q50" s="5"/>
    </row>
    <row r="51" customFormat="false" ht="23.25" hidden="false" customHeight="true" outlineLevel="0" collapsed="false">
      <c r="A51" s="6" t="n">
        <v>50</v>
      </c>
      <c r="B51" s="6" t="s">
        <v>17</v>
      </c>
      <c r="C51" s="6" t="s">
        <v>221</v>
      </c>
      <c r="D51" s="6" t="s">
        <v>78</v>
      </c>
      <c r="E51" s="6" t="s">
        <v>355</v>
      </c>
      <c r="F51" s="6" t="s">
        <v>356</v>
      </c>
      <c r="G51" s="6"/>
      <c r="H51" s="6"/>
      <c r="I51" s="6" t="s">
        <v>353</v>
      </c>
      <c r="J51" s="6"/>
      <c r="K51" s="6"/>
      <c r="L51" s="6"/>
      <c r="M51" s="6"/>
      <c r="N51" s="6" t="s">
        <v>357</v>
      </c>
      <c r="O51" s="6"/>
      <c r="P51" s="5"/>
      <c r="Q51" s="5"/>
    </row>
    <row r="52" customFormat="false" ht="23.25" hidden="false" customHeight="true" outlineLevel="0" collapsed="false">
      <c r="A52" s="6" t="n">
        <v>51</v>
      </c>
      <c r="B52" s="6" t="s">
        <v>17</v>
      </c>
      <c r="C52" s="6" t="s">
        <v>208</v>
      </c>
      <c r="D52" s="6" t="s">
        <v>78</v>
      </c>
      <c r="E52" s="6" t="s">
        <v>358</v>
      </c>
      <c r="F52" s="6" t="s">
        <v>359</v>
      </c>
      <c r="G52" s="6" t="s">
        <v>360</v>
      </c>
      <c r="H52" s="6"/>
      <c r="I52" s="6" t="s">
        <v>353</v>
      </c>
      <c r="J52" s="6"/>
      <c r="K52" s="6"/>
      <c r="L52" s="6"/>
      <c r="M52" s="6"/>
      <c r="N52" s="6" t="s">
        <v>361</v>
      </c>
      <c r="O52" s="6"/>
      <c r="P52" s="5"/>
      <c r="Q52" s="5"/>
    </row>
    <row r="53" customFormat="false" ht="15" hidden="false" customHeight="true" outlineLevel="0" collapsed="false">
      <c r="A53" s="6" t="n">
        <v>52</v>
      </c>
      <c r="B53" s="6" t="s">
        <v>17</v>
      </c>
      <c r="C53" s="6" t="s">
        <v>31</v>
      </c>
      <c r="D53" s="6" t="s">
        <v>362</v>
      </c>
      <c r="E53" s="6" t="s">
        <v>363</v>
      </c>
      <c r="F53" s="6" t="s">
        <v>364</v>
      </c>
      <c r="G53" s="6"/>
      <c r="H53" s="6"/>
      <c r="I53" s="6" t="s">
        <v>353</v>
      </c>
      <c r="J53" s="6"/>
      <c r="K53" s="6"/>
      <c r="L53" s="6"/>
      <c r="M53" s="6"/>
      <c r="N53" s="6" t="s">
        <v>365</v>
      </c>
      <c r="O53" s="6"/>
      <c r="P53" s="5"/>
      <c r="Q53" s="5"/>
    </row>
    <row r="54" customFormat="false" ht="15" hidden="false" customHeight="true" outlineLevel="0" collapsed="false">
      <c r="A54" s="6" t="n">
        <v>53</v>
      </c>
      <c r="B54" s="6" t="s">
        <v>17</v>
      </c>
      <c r="C54" s="6" t="s">
        <v>18</v>
      </c>
      <c r="D54" s="6" t="s">
        <v>235</v>
      </c>
      <c r="E54" s="6" t="s">
        <v>366</v>
      </c>
      <c r="F54" s="6" t="s">
        <v>367</v>
      </c>
      <c r="G54" s="6"/>
      <c r="H54" s="6"/>
      <c r="I54" s="6" t="s">
        <v>353</v>
      </c>
      <c r="J54" s="6"/>
      <c r="K54" s="6"/>
      <c r="L54" s="6"/>
      <c r="M54" s="6"/>
      <c r="N54" s="6" t="s">
        <v>368</v>
      </c>
      <c r="O54" s="6"/>
      <c r="P54" s="5"/>
      <c r="Q54" s="5"/>
    </row>
    <row r="55" customFormat="false" ht="23.25" hidden="false" customHeight="true" outlineLevel="0" collapsed="false">
      <c r="A55" s="6" t="n">
        <v>54</v>
      </c>
      <c r="B55" s="6" t="s">
        <v>17</v>
      </c>
      <c r="C55" s="6" t="s">
        <v>18</v>
      </c>
      <c r="D55" s="6" t="s">
        <v>19</v>
      </c>
      <c r="E55" s="6" t="s">
        <v>369</v>
      </c>
      <c r="F55" s="6" t="s">
        <v>370</v>
      </c>
      <c r="G55" s="6" t="s">
        <v>371</v>
      </c>
      <c r="H55" s="6"/>
      <c r="I55" s="6" t="s">
        <v>353</v>
      </c>
      <c r="J55" s="6"/>
      <c r="K55" s="6"/>
      <c r="L55" s="6"/>
      <c r="M55" s="6"/>
      <c r="N55" s="6"/>
      <c r="O55" s="6"/>
      <c r="P55" s="5"/>
      <c r="Q55" s="5"/>
    </row>
    <row r="56" customFormat="false" ht="15" hidden="false" customHeight="true" outlineLevel="0" collapsed="false">
      <c r="A56" s="6" t="n">
        <v>55</v>
      </c>
      <c r="B56" s="6" t="s">
        <v>17</v>
      </c>
      <c r="C56" s="6" t="s">
        <v>31</v>
      </c>
      <c r="D56" s="6" t="s">
        <v>19</v>
      </c>
      <c r="E56" s="6" t="s">
        <v>372</v>
      </c>
      <c r="F56" s="6" t="s">
        <v>373</v>
      </c>
      <c r="G56" s="6"/>
      <c r="H56" s="6"/>
      <c r="I56" s="6" t="s">
        <v>353</v>
      </c>
      <c r="J56" s="6"/>
      <c r="K56" s="6"/>
      <c r="L56" s="6"/>
      <c r="M56" s="6"/>
      <c r="N56" s="6" t="s">
        <v>374</v>
      </c>
      <c r="O56" s="6"/>
      <c r="P56" s="5"/>
      <c r="Q56" s="5"/>
    </row>
    <row r="57" customFormat="false" ht="23.25" hidden="false" customHeight="true" outlineLevel="0" collapsed="false">
      <c r="A57" s="6" t="n">
        <v>56</v>
      </c>
      <c r="B57" s="6" t="s">
        <v>17</v>
      </c>
      <c r="C57" s="6" t="s">
        <v>31</v>
      </c>
      <c r="D57" s="6" t="s">
        <v>19</v>
      </c>
      <c r="E57" s="6" t="s">
        <v>167</v>
      </c>
      <c r="F57" s="6" t="s">
        <v>375</v>
      </c>
      <c r="G57" s="6"/>
      <c r="H57" s="6"/>
      <c r="I57" s="6" t="s">
        <v>376</v>
      </c>
      <c r="J57" s="6"/>
      <c r="K57" s="6"/>
      <c r="L57" s="6"/>
      <c r="M57" s="6"/>
      <c r="N57" s="6" t="s">
        <v>377</v>
      </c>
      <c r="O57" s="6"/>
      <c r="P57" s="5"/>
      <c r="Q57" s="5"/>
    </row>
    <row r="58" customFormat="false" ht="15" hidden="false" customHeight="true" outlineLevel="0" collapsed="false">
      <c r="A58" s="6" t="n">
        <v>57</v>
      </c>
      <c r="B58" s="6" t="s">
        <v>17</v>
      </c>
      <c r="C58" s="6" t="s">
        <v>221</v>
      </c>
      <c r="D58" s="6" t="s">
        <v>93</v>
      </c>
      <c r="E58" s="6" t="s">
        <v>378</v>
      </c>
      <c r="F58" s="6" t="s">
        <v>379</v>
      </c>
      <c r="G58" s="6"/>
      <c r="H58" s="6"/>
      <c r="I58" s="6" t="s">
        <v>380</v>
      </c>
      <c r="J58" s="6"/>
      <c r="K58" s="6"/>
      <c r="L58" s="6"/>
      <c r="M58" s="6"/>
      <c r="N58" s="6"/>
      <c r="O58" s="6"/>
      <c r="P58" s="5"/>
      <c r="Q58" s="5"/>
    </row>
    <row r="59" customFormat="false" ht="23.25" hidden="false" customHeight="true" outlineLevel="0" collapsed="false">
      <c r="A59" s="6" t="n">
        <v>58</v>
      </c>
      <c r="B59" s="6" t="s">
        <v>17</v>
      </c>
      <c r="C59" s="6" t="s">
        <v>208</v>
      </c>
      <c r="D59" s="6" t="s">
        <v>93</v>
      </c>
      <c r="E59" s="6" t="s">
        <v>381</v>
      </c>
      <c r="F59" s="6" t="s">
        <v>382</v>
      </c>
      <c r="G59" s="6" t="s">
        <v>383</v>
      </c>
      <c r="H59" s="6"/>
      <c r="I59" s="6" t="s">
        <v>353</v>
      </c>
      <c r="J59" s="6"/>
      <c r="K59" s="6"/>
      <c r="L59" s="6"/>
      <c r="M59" s="6"/>
      <c r="N59" s="6" t="s">
        <v>384</v>
      </c>
      <c r="O59" s="6"/>
      <c r="P59" s="5"/>
      <c r="Q59" s="5"/>
    </row>
    <row r="60" customFormat="false" ht="15" hidden="false" customHeight="true" outlineLevel="0" collapsed="false">
      <c r="A60" s="6" t="n">
        <v>59</v>
      </c>
      <c r="B60" s="6" t="s">
        <v>17</v>
      </c>
      <c r="C60" s="6" t="s">
        <v>194</v>
      </c>
      <c r="D60" s="6" t="s">
        <v>78</v>
      </c>
      <c r="E60" s="6" t="s">
        <v>385</v>
      </c>
      <c r="F60" s="6" t="s">
        <v>386</v>
      </c>
      <c r="G60" s="6"/>
      <c r="H60" s="6"/>
      <c r="I60" s="6" t="s">
        <v>380</v>
      </c>
      <c r="J60" s="6"/>
      <c r="K60" s="6"/>
      <c r="L60" s="6"/>
      <c r="M60" s="6"/>
      <c r="N60" s="6"/>
      <c r="O60" s="6"/>
      <c r="P60" s="5"/>
      <c r="Q60" s="5"/>
    </row>
    <row r="61" customFormat="false" ht="23.25" hidden="false" customHeight="true" outlineLevel="0" collapsed="false">
      <c r="A61" s="6" t="n">
        <v>60</v>
      </c>
      <c r="B61" s="6" t="s">
        <v>17</v>
      </c>
      <c r="C61" s="6" t="s">
        <v>248</v>
      </c>
      <c r="D61" s="6" t="s">
        <v>78</v>
      </c>
      <c r="E61" s="6" t="s">
        <v>387</v>
      </c>
      <c r="F61" s="6" t="s">
        <v>388</v>
      </c>
      <c r="G61" s="6"/>
      <c r="H61" s="6"/>
      <c r="I61" s="6" t="s">
        <v>353</v>
      </c>
      <c r="J61" s="6"/>
      <c r="K61" s="6"/>
      <c r="L61" s="6"/>
      <c r="M61" s="6"/>
      <c r="N61" s="6"/>
      <c r="O61" s="6"/>
      <c r="P61" s="5"/>
      <c r="Q61" s="5"/>
    </row>
    <row r="62" customFormat="false" ht="23.25" hidden="false" customHeight="true" outlineLevel="0" collapsed="false">
      <c r="A62" s="6" t="n">
        <v>61</v>
      </c>
      <c r="B62" s="6" t="s">
        <v>17</v>
      </c>
      <c r="C62" s="6" t="s">
        <v>114</v>
      </c>
      <c r="D62" s="6" t="s">
        <v>78</v>
      </c>
      <c r="E62" s="6" t="s">
        <v>389</v>
      </c>
      <c r="F62" s="6" t="s">
        <v>390</v>
      </c>
      <c r="G62" s="6"/>
      <c r="H62" s="6"/>
      <c r="I62" s="6" t="s">
        <v>391</v>
      </c>
      <c r="J62" s="6"/>
      <c r="K62" s="6"/>
      <c r="L62" s="6"/>
      <c r="M62" s="6"/>
      <c r="N62" s="6"/>
      <c r="O62" s="6"/>
      <c r="P62" s="5"/>
      <c r="Q62" s="5"/>
    </row>
    <row r="63" customFormat="false" ht="15" hidden="false" customHeight="true" outlineLevel="0" collapsed="false">
      <c r="A63" s="6" t="n">
        <v>62</v>
      </c>
      <c r="B63" s="6" t="s">
        <v>17</v>
      </c>
      <c r="C63" s="6" t="s">
        <v>392</v>
      </c>
      <c r="D63" s="6" t="s">
        <v>78</v>
      </c>
      <c r="E63" s="6" t="s">
        <v>393</v>
      </c>
      <c r="F63" s="6" t="s">
        <v>394</v>
      </c>
      <c r="G63" s="6"/>
      <c r="H63" s="6"/>
      <c r="I63" s="6" t="s">
        <v>353</v>
      </c>
      <c r="J63" s="6"/>
      <c r="K63" s="6"/>
      <c r="L63" s="6"/>
      <c r="M63" s="6"/>
      <c r="N63" s="6" t="s">
        <v>395</v>
      </c>
      <c r="O63" s="6"/>
      <c r="P63" s="5"/>
      <c r="Q63" s="5"/>
    </row>
    <row r="64" customFormat="false" ht="15" hidden="false" customHeight="true" outlineLevel="0" collapsed="false">
      <c r="A64" s="6" t="n">
        <v>63</v>
      </c>
      <c r="B64" s="6" t="s">
        <v>17</v>
      </c>
      <c r="C64" s="6" t="s">
        <v>301</v>
      </c>
      <c r="D64" s="6" t="s">
        <v>78</v>
      </c>
      <c r="E64" s="6" t="s">
        <v>396</v>
      </c>
      <c r="F64" s="6" t="s">
        <v>397</v>
      </c>
      <c r="G64" s="6" t="s">
        <v>398</v>
      </c>
      <c r="H64" s="6"/>
      <c r="I64" s="6" t="s">
        <v>353</v>
      </c>
      <c r="J64" s="6"/>
      <c r="K64" s="6"/>
      <c r="L64" s="6"/>
      <c r="M64" s="6"/>
      <c r="N64" s="6"/>
      <c r="O64" s="6"/>
      <c r="P64" s="5"/>
      <c r="Q64" s="5"/>
    </row>
    <row r="65" customFormat="false" ht="15" hidden="false" customHeight="true" outlineLevel="0" collapsed="false">
      <c r="A65" s="6" t="n">
        <v>64</v>
      </c>
      <c r="B65" s="6" t="s">
        <v>17</v>
      </c>
      <c r="C65" s="6" t="s">
        <v>399</v>
      </c>
      <c r="D65" s="6" t="s">
        <v>93</v>
      </c>
      <c r="E65" s="6" t="s">
        <v>400</v>
      </c>
      <c r="F65" s="6" t="s">
        <v>401</v>
      </c>
      <c r="G65" s="6"/>
      <c r="H65" s="6"/>
      <c r="I65" s="6" t="s">
        <v>353</v>
      </c>
      <c r="J65" s="6"/>
      <c r="K65" s="6"/>
      <c r="L65" s="6"/>
      <c r="M65" s="6"/>
      <c r="N65" s="6"/>
      <c r="O65" s="6"/>
      <c r="P65" s="5"/>
      <c r="Q65" s="5"/>
    </row>
    <row r="66" customFormat="false" ht="15" hidden="false" customHeight="true" outlineLevel="0" collapsed="false">
      <c r="A66" s="6" t="n">
        <v>65</v>
      </c>
      <c r="B66" s="6" t="s">
        <v>17</v>
      </c>
      <c r="C66" s="6" t="s">
        <v>201</v>
      </c>
      <c r="D66" s="6" t="s">
        <v>235</v>
      </c>
      <c r="E66" s="6" t="s">
        <v>402</v>
      </c>
      <c r="F66" s="6" t="s">
        <v>403</v>
      </c>
      <c r="G66" s="6"/>
      <c r="H66" s="6"/>
      <c r="I66" s="6" t="s">
        <v>353</v>
      </c>
      <c r="J66" s="6"/>
      <c r="K66" s="6"/>
      <c r="L66" s="6"/>
      <c r="M66" s="6"/>
      <c r="N66" s="6"/>
      <c r="O66" s="6"/>
      <c r="P66" s="5"/>
      <c r="Q66" s="5"/>
    </row>
    <row r="67" customFormat="false" ht="23.25" hidden="false" customHeight="true" outlineLevel="0" collapsed="false">
      <c r="A67" s="6" t="n">
        <v>66</v>
      </c>
      <c r="B67" s="6" t="s">
        <v>17</v>
      </c>
      <c r="C67" s="6" t="s">
        <v>18</v>
      </c>
      <c r="D67" s="6" t="s">
        <v>40</v>
      </c>
      <c r="E67" s="6" t="s">
        <v>404</v>
      </c>
      <c r="F67" s="6" t="s">
        <v>404</v>
      </c>
      <c r="G67" s="6" t="s">
        <v>405</v>
      </c>
      <c r="H67" s="6"/>
      <c r="I67" s="6" t="s">
        <v>353</v>
      </c>
      <c r="J67" s="6"/>
      <c r="K67" s="6"/>
      <c r="L67" s="6"/>
      <c r="M67" s="6"/>
      <c r="N67" s="6" t="s">
        <v>406</v>
      </c>
      <c r="O67" s="6"/>
      <c r="P67" s="5"/>
      <c r="Q67" s="5"/>
    </row>
    <row r="68" customFormat="false" ht="15" hidden="false" customHeight="true" outlineLevel="0" collapsed="false">
      <c r="A68" s="6" t="n">
        <v>67</v>
      </c>
      <c r="B68" s="6" t="s">
        <v>17</v>
      </c>
      <c r="C68" s="6" t="s">
        <v>100</v>
      </c>
      <c r="D68" s="6" t="s">
        <v>32</v>
      </c>
      <c r="E68" s="6" t="s">
        <v>407</v>
      </c>
      <c r="F68" s="6" t="s">
        <v>408</v>
      </c>
      <c r="G68" s="6" t="s">
        <v>409</v>
      </c>
      <c r="H68" s="6"/>
      <c r="I68" s="6" t="s">
        <v>410</v>
      </c>
      <c r="J68" s="6"/>
      <c r="K68" s="6"/>
      <c r="L68" s="6"/>
      <c r="M68" s="6"/>
      <c r="N68" s="6"/>
      <c r="O68" s="6"/>
      <c r="P68" s="5"/>
      <c r="Q68" s="5"/>
    </row>
    <row r="69" customFormat="false" ht="23.25" hidden="false" customHeight="true" outlineLevel="0" collapsed="false">
      <c r="A69" s="6" t="n">
        <v>68</v>
      </c>
      <c r="B69" s="6" t="s">
        <v>48</v>
      </c>
      <c r="C69" s="6" t="s">
        <v>327</v>
      </c>
      <c r="D69" s="6" t="s">
        <v>235</v>
      </c>
      <c r="E69" s="6" t="s">
        <v>411</v>
      </c>
      <c r="F69" s="6" t="s">
        <v>412</v>
      </c>
      <c r="G69" s="6" t="s">
        <v>413</v>
      </c>
      <c r="H69" s="6"/>
      <c r="I69" s="6" t="s">
        <v>414</v>
      </c>
      <c r="J69" s="6"/>
      <c r="K69" s="6"/>
      <c r="L69" s="6"/>
      <c r="M69" s="6"/>
      <c r="N69" s="6" t="s">
        <v>415</v>
      </c>
      <c r="O69" s="6"/>
      <c r="P69" s="5"/>
      <c r="Q69" s="5"/>
    </row>
    <row r="70" customFormat="false" ht="15" hidden="false" customHeight="true" outlineLevel="0" collapsed="false">
      <c r="A70" s="6" t="n">
        <v>69</v>
      </c>
      <c r="B70" s="6" t="s">
        <v>48</v>
      </c>
      <c r="C70" s="6" t="s">
        <v>416</v>
      </c>
      <c r="D70" s="6" t="s">
        <v>235</v>
      </c>
      <c r="E70" s="6" t="s">
        <v>417</v>
      </c>
      <c r="F70" s="6" t="s">
        <v>418</v>
      </c>
      <c r="G70" s="6"/>
      <c r="H70" s="6"/>
      <c r="I70" s="6" t="s">
        <v>419</v>
      </c>
      <c r="J70" s="6"/>
      <c r="K70" s="6"/>
      <c r="L70" s="6"/>
      <c r="M70" s="6"/>
      <c r="N70" s="6"/>
      <c r="O70" s="6"/>
      <c r="P70" s="5"/>
      <c r="Q70" s="5"/>
    </row>
    <row r="71" customFormat="false" ht="15" hidden="false" customHeight="true" outlineLevel="0" collapsed="false">
      <c r="A71" s="6" t="n">
        <v>70</v>
      </c>
      <c r="B71" s="6" t="s">
        <v>48</v>
      </c>
      <c r="C71" s="6" t="s">
        <v>334</v>
      </c>
      <c r="D71" s="6" t="s">
        <v>19</v>
      </c>
      <c r="E71" s="6" t="s">
        <v>420</v>
      </c>
      <c r="F71" s="6" t="s">
        <v>421</v>
      </c>
      <c r="G71" s="6" t="s">
        <v>422</v>
      </c>
      <c r="H71" s="6"/>
      <c r="I71" s="6" t="s">
        <v>353</v>
      </c>
      <c r="J71" s="6"/>
      <c r="K71" s="6"/>
      <c r="L71" s="6"/>
      <c r="M71" s="6"/>
      <c r="N71" s="6" t="s">
        <v>423</v>
      </c>
      <c r="O71" s="6"/>
      <c r="P71" s="5"/>
      <c r="Q71" s="5"/>
    </row>
    <row r="72" customFormat="false" ht="15" hidden="false" customHeight="true" outlineLevel="0" collapsed="false">
      <c r="A72" s="6" t="n">
        <v>71</v>
      </c>
      <c r="B72" s="6" t="s">
        <v>48</v>
      </c>
      <c r="C72" s="6" t="s">
        <v>71</v>
      </c>
      <c r="D72" s="6" t="s">
        <v>424</v>
      </c>
      <c r="E72" s="6" t="s">
        <v>425</v>
      </c>
      <c r="F72" s="6" t="s">
        <v>426</v>
      </c>
      <c r="G72" s="6"/>
      <c r="H72" s="6"/>
      <c r="I72" s="6" t="s">
        <v>353</v>
      </c>
      <c r="J72" s="6"/>
      <c r="K72" s="6"/>
      <c r="L72" s="6"/>
      <c r="M72" s="6"/>
      <c r="N72" s="6"/>
      <c r="O72" s="6"/>
      <c r="P72" s="5"/>
      <c r="Q72" s="5"/>
    </row>
    <row r="73" customFormat="false" ht="34.5" hidden="false" customHeight="true" outlineLevel="0" collapsed="false">
      <c r="A73" s="4" t="n">
        <v>72</v>
      </c>
      <c r="B73" s="4" t="s">
        <v>17</v>
      </c>
      <c r="C73" s="4" t="s">
        <v>18</v>
      </c>
      <c r="D73" s="4" t="s">
        <v>427</v>
      </c>
      <c r="E73" s="4" t="s">
        <v>428</v>
      </c>
      <c r="F73" s="4" t="s">
        <v>429</v>
      </c>
      <c r="G73" s="4"/>
      <c r="H73" s="4" t="s">
        <v>430</v>
      </c>
      <c r="I73" s="4" t="s">
        <v>24</v>
      </c>
      <c r="J73" s="4" t="s">
        <v>29</v>
      </c>
      <c r="K73" s="4" t="s">
        <v>431</v>
      </c>
      <c r="L73" s="4" t="s">
        <v>432</v>
      </c>
      <c r="M73" s="4" t="s">
        <v>433</v>
      </c>
      <c r="N73" s="4" t="s">
        <v>434</v>
      </c>
      <c r="O73" s="4" t="s">
        <v>29</v>
      </c>
      <c r="P73" s="5" t="s">
        <v>30</v>
      </c>
      <c r="Q73" s="5"/>
    </row>
    <row r="74" customFormat="false" ht="34.5" hidden="false" customHeight="true" outlineLevel="0" collapsed="false">
      <c r="A74" s="4" t="n">
        <v>73</v>
      </c>
      <c r="B74" s="4" t="s">
        <v>17</v>
      </c>
      <c r="C74" s="4" t="s">
        <v>18</v>
      </c>
      <c r="D74" s="4" t="s">
        <v>427</v>
      </c>
      <c r="E74" s="4" t="s">
        <v>435</v>
      </c>
      <c r="F74" s="4" t="s">
        <v>436</v>
      </c>
      <c r="G74" s="4"/>
      <c r="H74" s="4" t="s">
        <v>437</v>
      </c>
      <c r="I74" s="4" t="s">
        <v>24</v>
      </c>
      <c r="J74" s="4" t="s">
        <v>29</v>
      </c>
      <c r="K74" s="4" t="s">
        <v>438</v>
      </c>
      <c r="L74" s="4" t="s">
        <v>439</v>
      </c>
      <c r="M74" s="4" t="s">
        <v>440</v>
      </c>
      <c r="N74" s="4"/>
      <c r="O74" s="4" t="s">
        <v>29</v>
      </c>
      <c r="P74" s="5" t="s">
        <v>30</v>
      </c>
      <c r="Q74" s="5"/>
    </row>
    <row r="75" customFormat="false" ht="34.5" hidden="false" customHeight="true" outlineLevel="0" collapsed="false">
      <c r="A75" s="4" t="n">
        <v>74</v>
      </c>
      <c r="B75" s="4" t="s">
        <v>17</v>
      </c>
      <c r="C75" s="4" t="s">
        <v>18</v>
      </c>
      <c r="D75" s="4" t="s">
        <v>427</v>
      </c>
      <c r="E75" s="4" t="s">
        <v>441</v>
      </c>
      <c r="F75" s="4" t="s">
        <v>442</v>
      </c>
      <c r="G75" s="4"/>
      <c r="H75" s="4" t="s">
        <v>443</v>
      </c>
      <c r="I75" s="4" t="s">
        <v>24</v>
      </c>
      <c r="J75" s="4" t="s">
        <v>29</v>
      </c>
      <c r="K75" s="4" t="s">
        <v>444</v>
      </c>
      <c r="L75" s="4" t="s">
        <v>445</v>
      </c>
      <c r="M75" s="4" t="s">
        <v>446</v>
      </c>
      <c r="N75" s="4"/>
      <c r="O75" s="4" t="s">
        <v>29</v>
      </c>
      <c r="P75" s="5" t="s">
        <v>30</v>
      </c>
      <c r="Q75" s="5"/>
    </row>
    <row r="76" customFormat="false" ht="23.25" hidden="false" customHeight="true" outlineLevel="0" collapsed="false">
      <c r="A76" s="4" t="n">
        <v>75</v>
      </c>
      <c r="B76" s="4" t="s">
        <v>17</v>
      </c>
      <c r="C76" s="4" t="s">
        <v>18</v>
      </c>
      <c r="D76" s="4" t="s">
        <v>19</v>
      </c>
      <c r="E76" s="4" t="s">
        <v>447</v>
      </c>
      <c r="F76" s="4" t="s">
        <v>448</v>
      </c>
      <c r="G76" s="4"/>
      <c r="H76" s="4" t="s">
        <v>449</v>
      </c>
      <c r="I76" s="4" t="s">
        <v>24</v>
      </c>
      <c r="J76" s="4" t="s">
        <v>29</v>
      </c>
      <c r="K76" s="4" t="s">
        <v>450</v>
      </c>
      <c r="L76" s="4" t="s">
        <v>451</v>
      </c>
      <c r="M76" s="4" t="s">
        <v>452</v>
      </c>
      <c r="N76" s="4"/>
      <c r="O76" s="4" t="s">
        <v>29</v>
      </c>
      <c r="P76" s="5" t="s">
        <v>30</v>
      </c>
      <c r="Q76" s="5"/>
    </row>
    <row r="77" customFormat="false" ht="23.25" hidden="false" customHeight="true" outlineLevel="0" collapsed="false">
      <c r="A77" s="4" t="n">
        <v>76</v>
      </c>
      <c r="B77" s="4" t="s">
        <v>17</v>
      </c>
      <c r="C77" s="4" t="s">
        <v>194</v>
      </c>
      <c r="D77" s="4" t="s">
        <v>19</v>
      </c>
      <c r="E77" s="4" t="s">
        <v>453</v>
      </c>
      <c r="F77" s="4" t="s">
        <v>454</v>
      </c>
      <c r="G77" s="4"/>
      <c r="H77" s="4" t="s">
        <v>455</v>
      </c>
      <c r="I77" s="4" t="s">
        <v>24</v>
      </c>
      <c r="J77" s="4" t="s">
        <v>29</v>
      </c>
      <c r="K77" s="4" t="s">
        <v>456</v>
      </c>
      <c r="L77" s="4" t="s">
        <v>457</v>
      </c>
      <c r="M77" s="4" t="s">
        <v>458</v>
      </c>
      <c r="N77" s="4"/>
      <c r="O77" s="4" t="s">
        <v>29</v>
      </c>
      <c r="P77" s="5" t="s">
        <v>30</v>
      </c>
      <c r="Q77" s="5"/>
    </row>
    <row r="78" customFormat="false" ht="15" hidden="false" customHeight="true" outlineLevel="0" collapsed="false">
      <c r="A78" s="4" t="n">
        <v>77</v>
      </c>
      <c r="B78" s="4" t="s">
        <v>17</v>
      </c>
      <c r="C78" s="4" t="s">
        <v>221</v>
      </c>
      <c r="D78" s="4" t="s">
        <v>19</v>
      </c>
      <c r="E78" s="4" t="s">
        <v>459</v>
      </c>
      <c r="F78" s="4" t="s">
        <v>460</v>
      </c>
      <c r="G78" s="4" t="s">
        <v>461</v>
      </c>
      <c r="H78" s="4" t="s">
        <v>462</v>
      </c>
      <c r="I78" s="4" t="s">
        <v>24</v>
      </c>
      <c r="J78" s="4" t="s">
        <v>29</v>
      </c>
      <c r="K78" s="4" t="s">
        <v>463</v>
      </c>
      <c r="L78" s="4" t="s">
        <v>464</v>
      </c>
      <c r="M78" s="4" t="s">
        <v>465</v>
      </c>
      <c r="N78" s="4"/>
      <c r="O78" s="4" t="s">
        <v>29</v>
      </c>
      <c r="P78" s="5" t="s">
        <v>30</v>
      </c>
      <c r="Q78" s="5"/>
    </row>
    <row r="79" customFormat="false" ht="15" hidden="false" customHeight="true" outlineLevel="0" collapsed="false">
      <c r="A79" s="4" t="n">
        <v>78</v>
      </c>
      <c r="B79" s="4" t="s">
        <v>17</v>
      </c>
      <c r="C79" s="4" t="s">
        <v>179</v>
      </c>
      <c r="D79" s="4" t="s">
        <v>19</v>
      </c>
      <c r="E79" s="4" t="s">
        <v>466</v>
      </c>
      <c r="F79" s="4" t="s">
        <v>467</v>
      </c>
      <c r="G79" s="4"/>
      <c r="H79" s="4" t="s">
        <v>468</v>
      </c>
      <c r="I79" s="4" t="s">
        <v>24</v>
      </c>
      <c r="J79" s="4" t="s">
        <v>29</v>
      </c>
      <c r="K79" s="4" t="s">
        <v>469</v>
      </c>
      <c r="L79" s="4" t="s">
        <v>470</v>
      </c>
      <c r="M79" s="4" t="s">
        <v>471</v>
      </c>
      <c r="N79" s="4"/>
      <c r="O79" s="4" t="s">
        <v>29</v>
      </c>
      <c r="P79" s="5" t="s">
        <v>30</v>
      </c>
      <c r="Q79" s="5"/>
    </row>
    <row r="80" customFormat="false" ht="15" hidden="false" customHeight="true" outlineLevel="0" collapsed="false">
      <c r="A80" s="4" t="n">
        <v>79</v>
      </c>
      <c r="B80" s="4" t="s">
        <v>17</v>
      </c>
      <c r="C80" s="4" t="s">
        <v>186</v>
      </c>
      <c r="D80" s="4" t="s">
        <v>19</v>
      </c>
      <c r="E80" s="4" t="s">
        <v>472</v>
      </c>
      <c r="F80" s="4" t="s">
        <v>473</v>
      </c>
      <c r="G80" s="4"/>
      <c r="H80" s="4" t="s">
        <v>474</v>
      </c>
      <c r="I80" s="4" t="s">
        <v>24</v>
      </c>
      <c r="J80" s="4" t="s">
        <v>29</v>
      </c>
      <c r="K80" s="4" t="s">
        <v>475</v>
      </c>
      <c r="L80" s="4" t="s">
        <v>476</v>
      </c>
      <c r="M80" s="4" t="s">
        <v>477</v>
      </c>
      <c r="N80" s="4"/>
      <c r="O80" s="4" t="s">
        <v>29</v>
      </c>
      <c r="P80" s="5" t="s">
        <v>30</v>
      </c>
      <c r="Q80" s="5"/>
    </row>
    <row r="81" customFormat="false" ht="23.25" hidden="false" customHeight="true" outlineLevel="0" collapsed="false">
      <c r="A81" s="4" t="n">
        <v>80</v>
      </c>
      <c r="B81" s="4" t="s">
        <v>17</v>
      </c>
      <c r="C81" s="4" t="s">
        <v>280</v>
      </c>
      <c r="D81" s="4" t="s">
        <v>19</v>
      </c>
      <c r="E81" s="4" t="s">
        <v>478</v>
      </c>
      <c r="F81" s="4" t="s">
        <v>479</v>
      </c>
      <c r="G81" s="4"/>
      <c r="H81" s="4" t="s">
        <v>480</v>
      </c>
      <c r="I81" s="4" t="s">
        <v>24</v>
      </c>
      <c r="J81" s="4" t="s">
        <v>29</v>
      </c>
      <c r="K81" s="4" t="s">
        <v>481</v>
      </c>
      <c r="L81" s="4" t="s">
        <v>482</v>
      </c>
      <c r="M81" s="4" t="s">
        <v>483</v>
      </c>
      <c r="N81" s="4"/>
      <c r="O81" s="4" t="s">
        <v>29</v>
      </c>
      <c r="P81" s="5" t="s">
        <v>30</v>
      </c>
      <c r="Q81" s="5"/>
    </row>
    <row r="82" customFormat="false" ht="34.5" hidden="false" customHeight="true" outlineLevel="0" collapsed="false">
      <c r="A82" s="4" t="n">
        <v>81</v>
      </c>
      <c r="B82" s="4" t="s">
        <v>17</v>
      </c>
      <c r="C82" s="4" t="s">
        <v>221</v>
      </c>
      <c r="D82" s="4" t="s">
        <v>427</v>
      </c>
      <c r="E82" s="4" t="s">
        <v>484</v>
      </c>
      <c r="F82" s="4" t="s">
        <v>485</v>
      </c>
      <c r="G82" s="4"/>
      <c r="H82" s="4" t="s">
        <v>486</v>
      </c>
      <c r="I82" s="4" t="s">
        <v>24</v>
      </c>
      <c r="J82" s="4" t="s">
        <v>29</v>
      </c>
      <c r="K82" s="4" t="s">
        <v>487</v>
      </c>
      <c r="L82" s="4" t="s">
        <v>488</v>
      </c>
      <c r="M82" s="4" t="s">
        <v>489</v>
      </c>
      <c r="N82" s="4"/>
      <c r="O82" s="4" t="s">
        <v>29</v>
      </c>
      <c r="P82" s="5" t="s">
        <v>30</v>
      </c>
      <c r="Q82" s="5"/>
    </row>
    <row r="83" customFormat="false" ht="23.25" hidden="false" customHeight="true" outlineLevel="0" collapsed="false">
      <c r="A83" s="4" t="n">
        <v>82</v>
      </c>
      <c r="B83" s="4" t="s">
        <v>17</v>
      </c>
      <c r="C83" s="4" t="s">
        <v>31</v>
      </c>
      <c r="D83" s="4" t="s">
        <v>19</v>
      </c>
      <c r="E83" s="4" t="s">
        <v>490</v>
      </c>
      <c r="F83" s="4" t="s">
        <v>491</v>
      </c>
      <c r="G83" s="4"/>
      <c r="H83" s="4" t="s">
        <v>492</v>
      </c>
      <c r="I83" s="4" t="s">
        <v>24</v>
      </c>
      <c r="J83" s="4" t="s">
        <v>29</v>
      </c>
      <c r="K83" s="4" t="s">
        <v>493</v>
      </c>
      <c r="L83" s="4" t="s">
        <v>494</v>
      </c>
      <c r="M83" s="4" t="s">
        <v>495</v>
      </c>
      <c r="N83" s="4" t="s">
        <v>496</v>
      </c>
      <c r="O83" s="4" t="s">
        <v>29</v>
      </c>
      <c r="P83" s="5" t="s">
        <v>30</v>
      </c>
      <c r="Q83" s="5"/>
    </row>
    <row r="84" customFormat="false" ht="23.25" hidden="false" customHeight="true" outlineLevel="0" collapsed="false">
      <c r="A84" s="4" t="n">
        <v>83</v>
      </c>
      <c r="B84" s="4" t="s">
        <v>17</v>
      </c>
      <c r="C84" s="4" t="s">
        <v>92</v>
      </c>
      <c r="D84" s="4" t="s">
        <v>19</v>
      </c>
      <c r="E84" s="4" t="s">
        <v>497</v>
      </c>
      <c r="F84" s="4" t="s">
        <v>498</v>
      </c>
      <c r="G84" s="4" t="s">
        <v>499</v>
      </c>
      <c r="H84" s="4" t="s">
        <v>500</v>
      </c>
      <c r="I84" s="4" t="s">
        <v>24</v>
      </c>
      <c r="J84" s="4" t="s">
        <v>29</v>
      </c>
      <c r="K84" s="4" t="s">
        <v>501</v>
      </c>
      <c r="L84" s="4" t="s">
        <v>502</v>
      </c>
      <c r="M84" s="4" t="s">
        <v>503</v>
      </c>
      <c r="N84" s="4"/>
      <c r="O84" s="4" t="s">
        <v>29</v>
      </c>
      <c r="P84" s="5" t="s">
        <v>30</v>
      </c>
      <c r="Q84" s="5"/>
    </row>
    <row r="85" customFormat="false" ht="23.25" hidden="false" customHeight="true" outlineLevel="0" collapsed="false">
      <c r="A85" s="4" t="n">
        <v>84</v>
      </c>
      <c r="B85" s="4" t="s">
        <v>17</v>
      </c>
      <c r="C85" s="4" t="s">
        <v>92</v>
      </c>
      <c r="D85" s="4" t="s">
        <v>19</v>
      </c>
      <c r="E85" s="4" t="s">
        <v>504</v>
      </c>
      <c r="F85" s="4" t="s">
        <v>505</v>
      </c>
      <c r="G85" s="4" t="s">
        <v>506</v>
      </c>
      <c r="H85" s="4" t="s">
        <v>507</v>
      </c>
      <c r="I85" s="4" t="s">
        <v>24</v>
      </c>
      <c r="J85" s="4" t="s">
        <v>29</v>
      </c>
      <c r="K85" s="4" t="s">
        <v>508</v>
      </c>
      <c r="L85" s="4" t="s">
        <v>509</v>
      </c>
      <c r="M85" s="4" t="s">
        <v>510</v>
      </c>
      <c r="N85" s="4"/>
      <c r="O85" s="4" t="s">
        <v>29</v>
      </c>
      <c r="P85" s="5" t="s">
        <v>30</v>
      </c>
      <c r="Q85" s="5"/>
    </row>
    <row r="86" customFormat="false" ht="34.5" hidden="false" customHeight="true" outlineLevel="0" collapsed="false">
      <c r="A86" s="4" t="n">
        <v>85</v>
      </c>
      <c r="B86" s="4" t="s">
        <v>17</v>
      </c>
      <c r="C86" s="4" t="s">
        <v>39</v>
      </c>
      <c r="D86" s="4" t="s">
        <v>427</v>
      </c>
      <c r="E86" s="4" t="s">
        <v>511</v>
      </c>
      <c r="F86" s="4" t="s">
        <v>512</v>
      </c>
      <c r="G86" s="4" t="s">
        <v>513</v>
      </c>
      <c r="H86" s="4" t="s">
        <v>514</v>
      </c>
      <c r="I86" s="4" t="s">
        <v>24</v>
      </c>
      <c r="J86" s="4" t="s">
        <v>29</v>
      </c>
      <c r="K86" s="4" t="s">
        <v>515</v>
      </c>
      <c r="L86" s="4" t="s">
        <v>516</v>
      </c>
      <c r="M86" s="4" t="s">
        <v>517</v>
      </c>
      <c r="N86" s="4"/>
      <c r="O86" s="4" t="s">
        <v>29</v>
      </c>
      <c r="P86" s="5" t="s">
        <v>30</v>
      </c>
      <c r="Q86" s="5"/>
    </row>
    <row r="87" customFormat="false" ht="34.5" hidden="false" customHeight="true" outlineLevel="0" collapsed="false">
      <c r="A87" s="6" t="n">
        <v>86</v>
      </c>
      <c r="B87" s="6" t="s">
        <v>17</v>
      </c>
      <c r="C87" s="6" t="s">
        <v>18</v>
      </c>
      <c r="D87" s="6" t="s">
        <v>427</v>
      </c>
      <c r="E87" s="6" t="s">
        <v>518</v>
      </c>
      <c r="F87" s="6" t="s">
        <v>519</v>
      </c>
      <c r="G87" s="6"/>
      <c r="H87" s="6"/>
      <c r="I87" s="6" t="s">
        <v>353</v>
      </c>
      <c r="J87" s="6"/>
      <c r="K87" s="6"/>
      <c r="L87" s="6"/>
      <c r="M87" s="6"/>
      <c r="N87" s="6"/>
      <c r="O87" s="6"/>
      <c r="P87" s="5"/>
      <c r="Q87" s="5"/>
    </row>
    <row r="88" customFormat="false" ht="34.5" hidden="false" customHeight="true" outlineLevel="0" collapsed="false">
      <c r="A88" s="6" t="n">
        <v>87</v>
      </c>
      <c r="B88" s="6" t="s">
        <v>17</v>
      </c>
      <c r="C88" s="6" t="s">
        <v>18</v>
      </c>
      <c r="D88" s="6" t="s">
        <v>427</v>
      </c>
      <c r="E88" s="6" t="s">
        <v>520</v>
      </c>
      <c r="F88" s="6" t="s">
        <v>521</v>
      </c>
      <c r="G88" s="6"/>
      <c r="H88" s="6"/>
      <c r="I88" s="6" t="s">
        <v>353</v>
      </c>
      <c r="J88" s="6"/>
      <c r="K88" s="6"/>
      <c r="L88" s="6"/>
      <c r="M88" s="6"/>
      <c r="N88" s="6" t="s">
        <v>522</v>
      </c>
      <c r="O88" s="6"/>
      <c r="P88" s="5"/>
      <c r="Q88" s="5"/>
    </row>
    <row r="89" customFormat="false" ht="23.25" hidden="false" customHeight="true" outlineLevel="0" collapsed="false">
      <c r="A89" s="6" t="n">
        <v>88</v>
      </c>
      <c r="B89" s="6" t="s">
        <v>17</v>
      </c>
      <c r="C89" s="6" t="s">
        <v>18</v>
      </c>
      <c r="D89" s="6" t="s">
        <v>19</v>
      </c>
      <c r="E89" s="6" t="s">
        <v>523</v>
      </c>
      <c r="F89" s="6" t="s">
        <v>524</v>
      </c>
      <c r="G89" s="6"/>
      <c r="H89" s="6"/>
      <c r="I89" s="6" t="s">
        <v>353</v>
      </c>
      <c r="J89" s="6"/>
      <c r="K89" s="6"/>
      <c r="L89" s="6"/>
      <c r="M89" s="6"/>
      <c r="N89" s="6" t="s">
        <v>525</v>
      </c>
      <c r="O89" s="6"/>
      <c r="P89" s="5"/>
      <c r="Q89" s="5"/>
    </row>
    <row r="90" customFormat="false" ht="34.5" hidden="false" customHeight="true" outlineLevel="0" collapsed="false">
      <c r="A90" s="6" t="n">
        <v>89</v>
      </c>
      <c r="B90" s="6" t="s">
        <v>17</v>
      </c>
      <c r="C90" s="6" t="s">
        <v>18</v>
      </c>
      <c r="D90" s="6" t="s">
        <v>427</v>
      </c>
      <c r="E90" s="6" t="s">
        <v>526</v>
      </c>
      <c r="F90" s="6" t="s">
        <v>527</v>
      </c>
      <c r="G90" s="6"/>
      <c r="H90" s="6"/>
      <c r="I90" s="6" t="s">
        <v>353</v>
      </c>
      <c r="J90" s="6"/>
      <c r="K90" s="6"/>
      <c r="L90" s="6"/>
      <c r="M90" s="6"/>
      <c r="N90" s="6"/>
      <c r="O90" s="6"/>
      <c r="P90" s="5"/>
      <c r="Q90" s="5"/>
    </row>
    <row r="91" customFormat="false" ht="34.5" hidden="false" customHeight="true" outlineLevel="0" collapsed="false">
      <c r="A91" s="6" t="n">
        <v>90</v>
      </c>
      <c r="B91" s="6" t="s">
        <v>17</v>
      </c>
      <c r="C91" s="6" t="s">
        <v>18</v>
      </c>
      <c r="D91" s="6" t="s">
        <v>427</v>
      </c>
      <c r="E91" s="6" t="s">
        <v>528</v>
      </c>
      <c r="F91" s="6" t="s">
        <v>529</v>
      </c>
      <c r="G91" s="6"/>
      <c r="H91" s="6"/>
      <c r="I91" s="6" t="s">
        <v>530</v>
      </c>
      <c r="J91" s="6"/>
      <c r="K91" s="6"/>
      <c r="L91" s="6"/>
      <c r="M91" s="6"/>
      <c r="N91" s="6"/>
      <c r="O91" s="6"/>
      <c r="P91" s="5"/>
      <c r="Q91" s="5"/>
    </row>
    <row r="92" customFormat="false" ht="34.5" hidden="false" customHeight="true" outlineLevel="0" collapsed="false">
      <c r="A92" s="6" t="n">
        <v>91</v>
      </c>
      <c r="B92" s="6" t="s">
        <v>17</v>
      </c>
      <c r="C92" s="6" t="s">
        <v>18</v>
      </c>
      <c r="D92" s="6" t="s">
        <v>427</v>
      </c>
      <c r="E92" s="6" t="s">
        <v>531</v>
      </c>
      <c r="F92" s="6" t="s">
        <v>532</v>
      </c>
      <c r="G92" s="6" t="s">
        <v>533</v>
      </c>
      <c r="H92" s="6"/>
      <c r="I92" s="6" t="s">
        <v>353</v>
      </c>
      <c r="J92" s="6"/>
      <c r="K92" s="6"/>
      <c r="L92" s="6"/>
      <c r="M92" s="6"/>
      <c r="N92" s="6" t="s">
        <v>534</v>
      </c>
      <c r="O92" s="6"/>
      <c r="P92" s="5"/>
      <c r="Q92" s="5"/>
    </row>
    <row r="93" customFormat="false" ht="23.25" hidden="false" customHeight="true" outlineLevel="0" collapsed="false">
      <c r="A93" s="6" t="n">
        <v>92</v>
      </c>
      <c r="B93" s="6" t="s">
        <v>17</v>
      </c>
      <c r="C93" s="6" t="s">
        <v>18</v>
      </c>
      <c r="D93" s="6" t="s">
        <v>535</v>
      </c>
      <c r="E93" s="6" t="s">
        <v>536</v>
      </c>
      <c r="F93" s="6" t="s">
        <v>537</v>
      </c>
      <c r="G93" s="6"/>
      <c r="H93" s="6"/>
      <c r="I93" s="6" t="s">
        <v>538</v>
      </c>
      <c r="J93" s="6"/>
      <c r="K93" s="6"/>
      <c r="L93" s="6"/>
      <c r="M93" s="6"/>
      <c r="N93" s="6"/>
      <c r="O93" s="6"/>
      <c r="P93" s="5"/>
      <c r="Q93" s="5"/>
    </row>
    <row r="94" customFormat="false" ht="23.25" hidden="false" customHeight="true" outlineLevel="0" collapsed="false">
      <c r="A94" s="6" t="n">
        <v>93</v>
      </c>
      <c r="B94" s="6" t="s">
        <v>17</v>
      </c>
      <c r="C94" s="6" t="s">
        <v>18</v>
      </c>
      <c r="D94" s="6" t="s">
        <v>19</v>
      </c>
      <c r="E94" s="6" t="s">
        <v>539</v>
      </c>
      <c r="F94" s="6" t="s">
        <v>540</v>
      </c>
      <c r="G94" s="6"/>
      <c r="H94" s="6"/>
      <c r="I94" s="6" t="s">
        <v>541</v>
      </c>
      <c r="J94" s="6"/>
      <c r="K94" s="6"/>
      <c r="L94" s="6"/>
      <c r="M94" s="6"/>
      <c r="N94" s="6"/>
      <c r="O94" s="6"/>
      <c r="P94" s="5"/>
      <c r="Q94" s="5"/>
    </row>
    <row r="95" customFormat="false" ht="34.5" hidden="false" customHeight="true" outlineLevel="0" collapsed="false">
      <c r="A95" s="6" t="n">
        <v>94</v>
      </c>
      <c r="B95" s="6" t="s">
        <v>17</v>
      </c>
      <c r="C95" s="6" t="s">
        <v>18</v>
      </c>
      <c r="D95" s="6" t="s">
        <v>427</v>
      </c>
      <c r="E95" s="6" t="s">
        <v>542</v>
      </c>
      <c r="F95" s="6" t="s">
        <v>543</v>
      </c>
      <c r="G95" s="6"/>
      <c r="H95" s="6"/>
      <c r="I95" s="6" t="s">
        <v>544</v>
      </c>
      <c r="J95" s="6"/>
      <c r="K95" s="6"/>
      <c r="L95" s="6"/>
      <c r="M95" s="6"/>
      <c r="N95" s="6" t="s">
        <v>545</v>
      </c>
      <c r="O95" s="6"/>
      <c r="P95" s="5"/>
      <c r="Q95" s="5"/>
    </row>
    <row r="96" customFormat="false" ht="23.25" hidden="false" customHeight="true" outlineLevel="0" collapsed="false">
      <c r="A96" s="6" t="n">
        <v>95</v>
      </c>
      <c r="B96" s="6" t="s">
        <v>17</v>
      </c>
      <c r="C96" s="6" t="s">
        <v>31</v>
      </c>
      <c r="D96" s="6" t="s">
        <v>19</v>
      </c>
      <c r="E96" s="6" t="s">
        <v>546</v>
      </c>
      <c r="F96" s="6" t="s">
        <v>547</v>
      </c>
      <c r="G96" s="6"/>
      <c r="H96" s="6"/>
      <c r="I96" s="6" t="s">
        <v>548</v>
      </c>
      <c r="J96" s="6"/>
      <c r="K96" s="6"/>
      <c r="L96" s="6"/>
      <c r="M96" s="6"/>
      <c r="N96" s="6"/>
      <c r="O96" s="6"/>
      <c r="P96" s="5"/>
      <c r="Q96" s="5"/>
    </row>
    <row r="97" customFormat="false" ht="34.5" hidden="false" customHeight="true" outlineLevel="0" collapsed="false">
      <c r="A97" s="6" t="n">
        <v>96</v>
      </c>
      <c r="B97" s="6" t="s">
        <v>17</v>
      </c>
      <c r="C97" s="6" t="s">
        <v>31</v>
      </c>
      <c r="D97" s="6" t="s">
        <v>427</v>
      </c>
      <c r="E97" s="6" t="s">
        <v>549</v>
      </c>
      <c r="F97" s="6" t="s">
        <v>550</v>
      </c>
      <c r="G97" s="6"/>
      <c r="H97" s="6"/>
      <c r="I97" s="6" t="s">
        <v>380</v>
      </c>
      <c r="J97" s="6"/>
      <c r="K97" s="6"/>
      <c r="L97" s="6"/>
      <c r="M97" s="6"/>
      <c r="N97" s="6"/>
      <c r="O97" s="6"/>
      <c r="P97" s="5"/>
      <c r="Q97" s="5"/>
    </row>
    <row r="98" customFormat="false" ht="15" hidden="false" customHeight="true" outlineLevel="0" collapsed="false">
      <c r="A98" s="6" t="n">
        <v>97</v>
      </c>
      <c r="B98" s="6" t="s">
        <v>17</v>
      </c>
      <c r="C98" s="6" t="s">
        <v>31</v>
      </c>
      <c r="D98" s="6" t="s">
        <v>19</v>
      </c>
      <c r="E98" s="6" t="s">
        <v>551</v>
      </c>
      <c r="F98" s="6" t="s">
        <v>552</v>
      </c>
      <c r="G98" s="6"/>
      <c r="H98" s="6"/>
      <c r="I98" s="6" t="s">
        <v>380</v>
      </c>
      <c r="J98" s="6"/>
      <c r="K98" s="6"/>
      <c r="L98" s="6"/>
      <c r="M98" s="6"/>
      <c r="N98" s="6"/>
      <c r="O98" s="6"/>
      <c r="P98" s="5"/>
      <c r="Q98" s="5"/>
    </row>
    <row r="99" customFormat="false" ht="15" hidden="false" customHeight="true" outlineLevel="0" collapsed="false">
      <c r="A99" s="6" t="n">
        <v>98</v>
      </c>
      <c r="B99" s="6" t="s">
        <v>17</v>
      </c>
      <c r="C99" s="6" t="s">
        <v>31</v>
      </c>
      <c r="D99" s="6" t="s">
        <v>19</v>
      </c>
      <c r="E99" s="6" t="s">
        <v>553</v>
      </c>
      <c r="F99" s="6" t="s">
        <v>554</v>
      </c>
      <c r="G99" s="6"/>
      <c r="H99" s="6"/>
      <c r="I99" s="6" t="s">
        <v>380</v>
      </c>
      <c r="J99" s="6"/>
      <c r="K99" s="6"/>
      <c r="L99" s="6"/>
      <c r="M99" s="6"/>
      <c r="N99" s="6" t="s">
        <v>555</v>
      </c>
      <c r="O99" s="6"/>
      <c r="P99" s="5"/>
      <c r="Q99" s="5"/>
    </row>
    <row r="100" customFormat="false" ht="23.25" hidden="false" customHeight="true" outlineLevel="0" collapsed="false">
      <c r="A100" s="6" t="n">
        <v>99</v>
      </c>
      <c r="B100" s="6" t="s">
        <v>17</v>
      </c>
      <c r="C100" s="6" t="s">
        <v>280</v>
      </c>
      <c r="D100" s="6" t="s">
        <v>19</v>
      </c>
      <c r="E100" s="6" t="s">
        <v>556</v>
      </c>
      <c r="F100" s="6" t="s">
        <v>557</v>
      </c>
      <c r="G100" s="6" t="s">
        <v>558</v>
      </c>
      <c r="H100" s="6"/>
      <c r="I100" s="6" t="s">
        <v>559</v>
      </c>
      <c r="J100" s="6"/>
      <c r="K100" s="6"/>
      <c r="L100" s="6"/>
      <c r="M100" s="6"/>
      <c r="N100" s="6"/>
      <c r="O100" s="6"/>
      <c r="P100" s="5"/>
      <c r="Q100" s="5"/>
    </row>
    <row r="101" customFormat="false" ht="15" hidden="false" customHeight="true" outlineLevel="0" collapsed="false">
      <c r="A101" s="4" t="n">
        <v>100</v>
      </c>
      <c r="B101" s="4" t="s">
        <v>17</v>
      </c>
      <c r="C101" s="4" t="s">
        <v>280</v>
      </c>
      <c r="D101" s="4" t="s">
        <v>560</v>
      </c>
      <c r="E101" s="4" t="s">
        <v>561</v>
      </c>
      <c r="F101" s="4" t="s">
        <v>562</v>
      </c>
      <c r="G101" s="4" t="s">
        <v>563</v>
      </c>
      <c r="H101" s="4" t="s">
        <v>564</v>
      </c>
      <c r="I101" s="4" t="s">
        <v>24</v>
      </c>
      <c r="J101" s="4" t="s">
        <v>29</v>
      </c>
      <c r="K101" s="4" t="s">
        <v>565</v>
      </c>
      <c r="L101" s="4" t="s">
        <v>566</v>
      </c>
      <c r="M101" s="4" t="s">
        <v>567</v>
      </c>
      <c r="N101" s="4" t="s">
        <v>568</v>
      </c>
      <c r="O101" s="4" t="s">
        <v>29</v>
      </c>
      <c r="P101" s="5" t="s">
        <v>30</v>
      </c>
      <c r="Q101" s="5"/>
    </row>
    <row r="102" customFormat="false" ht="23.25" hidden="false" customHeight="true" outlineLevel="0" collapsed="false">
      <c r="A102" s="6" t="n">
        <v>101</v>
      </c>
      <c r="B102" s="6" t="s">
        <v>17</v>
      </c>
      <c r="C102" s="6" t="s">
        <v>100</v>
      </c>
      <c r="D102" s="6" t="s">
        <v>19</v>
      </c>
      <c r="E102" s="6" t="s">
        <v>569</v>
      </c>
      <c r="F102" s="6" t="s">
        <v>570</v>
      </c>
      <c r="G102" s="6" t="s">
        <v>571</v>
      </c>
      <c r="H102" s="6"/>
      <c r="I102" s="6" t="s">
        <v>541</v>
      </c>
      <c r="J102" s="6"/>
      <c r="K102" s="6"/>
      <c r="L102" s="6"/>
      <c r="M102" s="6"/>
      <c r="N102" s="6"/>
      <c r="O102" s="6"/>
      <c r="P102" s="5"/>
      <c r="Q102" s="5"/>
    </row>
    <row r="103" customFormat="false" ht="23.25" hidden="false" customHeight="true" outlineLevel="0" collapsed="false">
      <c r="A103" s="6" t="n">
        <v>102</v>
      </c>
      <c r="B103" s="6" t="s">
        <v>17</v>
      </c>
      <c r="C103" s="6" t="s">
        <v>92</v>
      </c>
      <c r="D103" s="6" t="s">
        <v>19</v>
      </c>
      <c r="E103" s="6" t="s">
        <v>572</v>
      </c>
      <c r="F103" s="6" t="s">
        <v>573</v>
      </c>
      <c r="G103" s="6"/>
      <c r="H103" s="6"/>
      <c r="I103" s="6" t="s">
        <v>574</v>
      </c>
      <c r="J103" s="6"/>
      <c r="K103" s="6"/>
      <c r="L103" s="6"/>
      <c r="M103" s="6"/>
      <c r="N103" s="6"/>
      <c r="O103" s="6"/>
      <c r="P103" s="5"/>
      <c r="Q103" s="5"/>
    </row>
    <row r="104" customFormat="false" ht="15" hidden="false" customHeight="true" outlineLevel="0" collapsed="false">
      <c r="A104" s="6" t="n">
        <v>103</v>
      </c>
      <c r="B104" s="6" t="s">
        <v>17</v>
      </c>
      <c r="C104" s="6" t="s">
        <v>186</v>
      </c>
      <c r="D104" s="6" t="s">
        <v>19</v>
      </c>
      <c r="E104" s="6" t="s">
        <v>575</v>
      </c>
      <c r="F104" s="6" t="s">
        <v>576</v>
      </c>
      <c r="G104" s="6"/>
      <c r="H104" s="6"/>
      <c r="I104" s="6" t="s">
        <v>353</v>
      </c>
      <c r="J104" s="6"/>
      <c r="K104" s="6"/>
      <c r="L104" s="6"/>
      <c r="M104" s="6"/>
      <c r="N104" s="6"/>
      <c r="O104" s="6"/>
      <c r="P104" s="5"/>
      <c r="Q104" s="5"/>
    </row>
    <row r="105" customFormat="false" ht="23.25" hidden="false" customHeight="true" outlineLevel="0" collapsed="false">
      <c r="A105" s="6" t="n">
        <v>104</v>
      </c>
      <c r="B105" s="6" t="s">
        <v>17</v>
      </c>
      <c r="C105" s="6" t="s">
        <v>186</v>
      </c>
      <c r="D105" s="6" t="s">
        <v>19</v>
      </c>
      <c r="E105" s="6" t="s">
        <v>577</v>
      </c>
      <c r="F105" s="6" t="s">
        <v>578</v>
      </c>
      <c r="G105" s="6"/>
      <c r="H105" s="6"/>
      <c r="I105" s="6" t="s">
        <v>579</v>
      </c>
      <c r="J105" s="6"/>
      <c r="K105" s="6"/>
      <c r="L105" s="6"/>
      <c r="M105" s="6"/>
      <c r="N105" s="6"/>
      <c r="O105" s="6"/>
      <c r="P105" s="5"/>
      <c r="Q105" s="5"/>
    </row>
    <row r="106" customFormat="false" ht="15" hidden="false" customHeight="true" outlineLevel="0" collapsed="false">
      <c r="A106" s="6" t="n">
        <v>105</v>
      </c>
      <c r="B106" s="6" t="s">
        <v>17</v>
      </c>
      <c r="C106" s="6" t="s">
        <v>221</v>
      </c>
      <c r="D106" s="6" t="s">
        <v>19</v>
      </c>
      <c r="E106" s="6" t="s">
        <v>580</v>
      </c>
      <c r="F106" s="6" t="s">
        <v>581</v>
      </c>
      <c r="G106" s="6"/>
      <c r="H106" s="6"/>
      <c r="I106" s="6" t="s">
        <v>353</v>
      </c>
      <c r="J106" s="6"/>
      <c r="K106" s="6"/>
      <c r="L106" s="6"/>
      <c r="M106" s="6"/>
      <c r="N106" s="6"/>
      <c r="O106" s="6"/>
      <c r="P106" s="5"/>
      <c r="Q106" s="5"/>
    </row>
    <row r="107" customFormat="false" ht="34.5" hidden="false" customHeight="true" outlineLevel="0" collapsed="false">
      <c r="A107" s="6" t="n">
        <v>106</v>
      </c>
      <c r="B107" s="6" t="s">
        <v>17</v>
      </c>
      <c r="C107" s="6" t="s">
        <v>208</v>
      </c>
      <c r="D107" s="6" t="s">
        <v>427</v>
      </c>
      <c r="E107" s="6" t="s">
        <v>582</v>
      </c>
      <c r="F107" s="6" t="s">
        <v>583</v>
      </c>
      <c r="G107" s="6"/>
      <c r="H107" s="6"/>
      <c r="I107" s="6" t="s">
        <v>380</v>
      </c>
      <c r="J107" s="6"/>
      <c r="K107" s="6"/>
      <c r="L107" s="6"/>
      <c r="M107" s="6"/>
      <c r="N107" s="6"/>
      <c r="O107" s="6"/>
      <c r="P107" s="5"/>
      <c r="Q107" s="5"/>
    </row>
    <row r="108" customFormat="false" ht="15" hidden="false" customHeight="true" outlineLevel="0" collapsed="false">
      <c r="A108" s="6" t="n">
        <v>107</v>
      </c>
      <c r="B108" s="6" t="s">
        <v>17</v>
      </c>
      <c r="C108" s="6" t="s">
        <v>584</v>
      </c>
      <c r="D108" s="6" t="s">
        <v>19</v>
      </c>
      <c r="E108" s="6" t="s">
        <v>585</v>
      </c>
      <c r="F108" s="6" t="s">
        <v>586</v>
      </c>
      <c r="G108" s="6"/>
      <c r="H108" s="6"/>
      <c r="I108" s="6" t="s">
        <v>353</v>
      </c>
      <c r="J108" s="6"/>
      <c r="K108" s="6"/>
      <c r="L108" s="6"/>
      <c r="M108" s="6"/>
      <c r="N108" s="6"/>
      <c r="O108" s="6"/>
      <c r="P108" s="5"/>
      <c r="Q108" s="5"/>
    </row>
    <row r="109" customFormat="false" ht="23.25" hidden="false" customHeight="true" outlineLevel="0" collapsed="false">
      <c r="A109" s="6" t="n">
        <v>108</v>
      </c>
      <c r="B109" s="6" t="s">
        <v>17</v>
      </c>
      <c r="C109" s="6" t="s">
        <v>248</v>
      </c>
      <c r="D109" s="6" t="s">
        <v>19</v>
      </c>
      <c r="E109" s="6" t="s">
        <v>587</v>
      </c>
      <c r="F109" s="6" t="s">
        <v>588</v>
      </c>
      <c r="G109" s="6" t="s">
        <v>589</v>
      </c>
      <c r="H109" s="6"/>
      <c r="I109" s="6" t="s">
        <v>590</v>
      </c>
      <c r="J109" s="6"/>
      <c r="K109" s="6"/>
      <c r="L109" s="6"/>
      <c r="M109" s="6"/>
      <c r="N109" s="6"/>
      <c r="O109" s="6"/>
      <c r="P109" s="5"/>
      <c r="Q109" s="5"/>
    </row>
    <row r="110" customFormat="false" ht="15" hidden="false" customHeight="true" outlineLevel="0" collapsed="false">
      <c r="A110" s="6" t="n">
        <v>109</v>
      </c>
      <c r="B110" s="6" t="s">
        <v>17</v>
      </c>
      <c r="C110" s="6" t="s">
        <v>248</v>
      </c>
      <c r="D110" s="6" t="s">
        <v>19</v>
      </c>
      <c r="E110" s="6" t="s">
        <v>591</v>
      </c>
      <c r="F110" s="6" t="s">
        <v>592</v>
      </c>
      <c r="G110" s="6"/>
      <c r="H110" s="6"/>
      <c r="I110" s="6" t="s">
        <v>380</v>
      </c>
      <c r="J110" s="6"/>
      <c r="K110" s="6"/>
      <c r="L110" s="6"/>
      <c r="M110" s="6"/>
      <c r="N110" s="6"/>
      <c r="O110" s="6"/>
      <c r="P110" s="5"/>
      <c r="Q110" s="5"/>
    </row>
    <row r="111" customFormat="false" ht="34.5" hidden="false" customHeight="true" outlineLevel="0" collapsed="false">
      <c r="A111" s="6" t="n">
        <v>110</v>
      </c>
      <c r="B111" s="6" t="s">
        <v>17</v>
      </c>
      <c r="C111" s="6" t="s">
        <v>39</v>
      </c>
      <c r="D111" s="6" t="s">
        <v>427</v>
      </c>
      <c r="E111" s="6" t="s">
        <v>593</v>
      </c>
      <c r="F111" s="6" t="s">
        <v>594</v>
      </c>
      <c r="G111" s="6"/>
      <c r="H111" s="6"/>
      <c r="I111" s="6" t="s">
        <v>595</v>
      </c>
      <c r="J111" s="6"/>
      <c r="K111" s="6"/>
      <c r="L111" s="6"/>
      <c r="M111" s="6"/>
      <c r="N111" s="6" t="s">
        <v>596</v>
      </c>
      <c r="O111" s="6"/>
      <c r="P111" s="5"/>
      <c r="Q111" s="5"/>
    </row>
    <row r="112" customFormat="false" ht="34.5" hidden="false" customHeight="true" outlineLevel="0" collapsed="false">
      <c r="A112" s="6" t="n">
        <v>111</v>
      </c>
      <c r="B112" s="6" t="s">
        <v>17</v>
      </c>
      <c r="C112" s="6" t="s">
        <v>100</v>
      </c>
      <c r="D112" s="6" t="s">
        <v>597</v>
      </c>
      <c r="E112" s="6" t="s">
        <v>598</v>
      </c>
      <c r="F112" s="6" t="s">
        <v>599</v>
      </c>
      <c r="G112" s="6"/>
      <c r="H112" s="6"/>
      <c r="I112" s="6" t="s">
        <v>600</v>
      </c>
      <c r="J112" s="6"/>
      <c r="K112" s="6"/>
      <c r="L112" s="6"/>
      <c r="M112" s="6"/>
      <c r="N112" s="6"/>
      <c r="O112" s="6"/>
      <c r="P112" s="5"/>
      <c r="Q112" s="5"/>
    </row>
    <row r="113" customFormat="false" ht="34.5" hidden="false" customHeight="true" outlineLevel="0" collapsed="false">
      <c r="A113" s="4" t="n">
        <v>112</v>
      </c>
      <c r="B113" s="4" t="s">
        <v>17</v>
      </c>
      <c r="C113" s="4" t="s">
        <v>18</v>
      </c>
      <c r="D113" s="4" t="s">
        <v>427</v>
      </c>
      <c r="E113" s="4" t="s">
        <v>601</v>
      </c>
      <c r="F113" s="4" t="s">
        <v>602</v>
      </c>
      <c r="G113" s="4" t="s">
        <v>603</v>
      </c>
      <c r="H113" s="4" t="s">
        <v>604</v>
      </c>
      <c r="I113" s="4" t="s">
        <v>24</v>
      </c>
      <c r="J113" s="4" t="s">
        <v>29</v>
      </c>
      <c r="K113" s="4" t="s">
        <v>605</v>
      </c>
      <c r="L113" s="4" t="s">
        <v>606</v>
      </c>
      <c r="M113" s="4" t="s">
        <v>607</v>
      </c>
      <c r="N113" s="4"/>
      <c r="O113" s="4" t="s">
        <v>29</v>
      </c>
      <c r="P113" s="5" t="s">
        <v>30</v>
      </c>
      <c r="Q113" s="5"/>
    </row>
    <row r="114" customFormat="false" ht="34.5" hidden="false" customHeight="true" outlineLevel="0" collapsed="false">
      <c r="A114" s="4" t="n">
        <v>113</v>
      </c>
      <c r="B114" s="4" t="s">
        <v>17</v>
      </c>
      <c r="C114" s="4" t="s">
        <v>18</v>
      </c>
      <c r="D114" s="4" t="s">
        <v>427</v>
      </c>
      <c r="E114" s="4" t="s">
        <v>608</v>
      </c>
      <c r="F114" s="4" t="s">
        <v>609</v>
      </c>
      <c r="G114" s="4"/>
      <c r="H114" s="4" t="s">
        <v>610</v>
      </c>
      <c r="I114" s="4" t="s">
        <v>24</v>
      </c>
      <c r="J114" s="4" t="s">
        <v>29</v>
      </c>
      <c r="K114" s="4" t="s">
        <v>611</v>
      </c>
      <c r="L114" s="4" t="s">
        <v>612</v>
      </c>
      <c r="M114" s="4" t="s">
        <v>613</v>
      </c>
      <c r="N114" s="4"/>
      <c r="O114" s="4" t="s">
        <v>29</v>
      </c>
      <c r="P114" s="5" t="s">
        <v>30</v>
      </c>
      <c r="Q114" s="5"/>
    </row>
    <row r="115" customFormat="false" ht="23.25" hidden="false" customHeight="true" outlineLevel="0" collapsed="false">
      <c r="A115" s="4" t="n">
        <v>114</v>
      </c>
      <c r="B115" s="4" t="s">
        <v>17</v>
      </c>
      <c r="C115" s="4" t="s">
        <v>18</v>
      </c>
      <c r="D115" s="4" t="s">
        <v>19</v>
      </c>
      <c r="E115" s="4" t="s">
        <v>614</v>
      </c>
      <c r="F115" s="4" t="s">
        <v>615</v>
      </c>
      <c r="G115" s="4" t="s">
        <v>616</v>
      </c>
      <c r="H115" s="4" t="s">
        <v>617</v>
      </c>
      <c r="I115" s="4" t="s">
        <v>24</v>
      </c>
      <c r="J115" s="4" t="s">
        <v>29</v>
      </c>
      <c r="K115" s="4" t="s">
        <v>618</v>
      </c>
      <c r="L115" s="4" t="s">
        <v>619</v>
      </c>
      <c r="M115" s="4" t="s">
        <v>620</v>
      </c>
      <c r="N115" s="4"/>
      <c r="O115" s="4" t="s">
        <v>29</v>
      </c>
      <c r="P115" s="5" t="s">
        <v>30</v>
      </c>
      <c r="Q115" s="5"/>
    </row>
    <row r="116" customFormat="false" ht="23.25" hidden="false" customHeight="true" outlineLevel="0" collapsed="false">
      <c r="A116" s="4" t="n">
        <v>115</v>
      </c>
      <c r="B116" s="4" t="s">
        <v>17</v>
      </c>
      <c r="C116" s="4" t="s">
        <v>18</v>
      </c>
      <c r="D116" s="4" t="s">
        <v>19</v>
      </c>
      <c r="E116" s="4" t="s">
        <v>621</v>
      </c>
      <c r="F116" s="4" t="s">
        <v>622</v>
      </c>
      <c r="G116" s="4" t="s">
        <v>623</v>
      </c>
      <c r="H116" s="4" t="s">
        <v>624</v>
      </c>
      <c r="I116" s="4" t="s">
        <v>24</v>
      </c>
      <c r="J116" s="4" t="s">
        <v>29</v>
      </c>
      <c r="K116" s="4" t="s">
        <v>625</v>
      </c>
      <c r="L116" s="4" t="s">
        <v>626</v>
      </c>
      <c r="M116" s="4" t="s">
        <v>627</v>
      </c>
      <c r="N116" s="4"/>
      <c r="O116" s="4" t="s">
        <v>29</v>
      </c>
      <c r="P116" s="5" t="s">
        <v>30</v>
      </c>
      <c r="Q116" s="5"/>
    </row>
    <row r="117" customFormat="false" ht="34.5" hidden="false" customHeight="true" outlineLevel="0" collapsed="false">
      <c r="A117" s="4" t="n">
        <v>116</v>
      </c>
      <c r="B117" s="4" t="s">
        <v>17</v>
      </c>
      <c r="C117" s="4" t="s">
        <v>18</v>
      </c>
      <c r="D117" s="4" t="s">
        <v>427</v>
      </c>
      <c r="E117" s="4" t="s">
        <v>628</v>
      </c>
      <c r="F117" s="4" t="s">
        <v>629</v>
      </c>
      <c r="G117" s="4" t="s">
        <v>630</v>
      </c>
      <c r="H117" s="4" t="s">
        <v>631</v>
      </c>
      <c r="I117" s="4" t="s">
        <v>24</v>
      </c>
      <c r="J117" s="4" t="s">
        <v>29</v>
      </c>
      <c r="K117" s="4" t="s">
        <v>632</v>
      </c>
      <c r="L117" s="4" t="s">
        <v>633</v>
      </c>
      <c r="M117" s="4" t="s">
        <v>634</v>
      </c>
      <c r="N117" s="4" t="s">
        <v>635</v>
      </c>
      <c r="O117" s="4" t="s">
        <v>29</v>
      </c>
      <c r="P117" s="5" t="s">
        <v>30</v>
      </c>
      <c r="Q117" s="5"/>
    </row>
    <row r="118" customFormat="false" ht="34.5" hidden="false" customHeight="true" outlineLevel="0" collapsed="false">
      <c r="A118" s="6" t="n">
        <v>117</v>
      </c>
      <c r="B118" s="6" t="s">
        <v>17</v>
      </c>
      <c r="C118" s="6" t="s">
        <v>18</v>
      </c>
      <c r="D118" s="6" t="s">
        <v>427</v>
      </c>
      <c r="E118" s="6" t="s">
        <v>636</v>
      </c>
      <c r="F118" s="6" t="s">
        <v>599</v>
      </c>
      <c r="G118" s="6"/>
      <c r="H118" s="6"/>
      <c r="I118" s="6" t="s">
        <v>600</v>
      </c>
      <c r="J118" s="6"/>
      <c r="K118" s="6"/>
      <c r="L118" s="6"/>
      <c r="M118" s="6"/>
      <c r="N118" s="6"/>
      <c r="O118" s="6"/>
      <c r="P118" s="5"/>
      <c r="Q118" s="5"/>
    </row>
    <row r="119" customFormat="false" ht="34.5" hidden="false" customHeight="true" outlineLevel="0" collapsed="false">
      <c r="A119" s="6" t="n">
        <v>118</v>
      </c>
      <c r="B119" s="6" t="s">
        <v>17</v>
      </c>
      <c r="C119" s="6" t="s">
        <v>18</v>
      </c>
      <c r="D119" s="6" t="s">
        <v>427</v>
      </c>
      <c r="E119" s="6" t="s">
        <v>637</v>
      </c>
      <c r="F119" s="6" t="s">
        <v>638</v>
      </c>
      <c r="G119" s="6"/>
      <c r="H119" s="6"/>
      <c r="I119" s="6" t="s">
        <v>639</v>
      </c>
      <c r="J119" s="6"/>
      <c r="K119" s="6"/>
      <c r="L119" s="6"/>
      <c r="M119" s="6"/>
      <c r="N119" s="6"/>
      <c r="O119" s="6"/>
      <c r="P119" s="5"/>
      <c r="Q119" s="5"/>
    </row>
    <row r="120" customFormat="false" ht="34.5" hidden="false" customHeight="true" outlineLevel="0" collapsed="false">
      <c r="A120" s="6" t="n">
        <v>119</v>
      </c>
      <c r="B120" s="6" t="s">
        <v>17</v>
      </c>
      <c r="C120" s="6" t="s">
        <v>18</v>
      </c>
      <c r="D120" s="6" t="s">
        <v>427</v>
      </c>
      <c r="E120" s="6" t="s">
        <v>640</v>
      </c>
      <c r="F120" s="6" t="s">
        <v>641</v>
      </c>
      <c r="G120" s="6"/>
      <c r="H120" s="6"/>
      <c r="I120" s="6" t="s">
        <v>642</v>
      </c>
      <c r="J120" s="6"/>
      <c r="K120" s="6"/>
      <c r="L120" s="6"/>
      <c r="M120" s="6"/>
      <c r="N120" s="6"/>
      <c r="O120" s="6"/>
      <c r="P120" s="5"/>
      <c r="Q120" s="5"/>
    </row>
    <row r="121" customFormat="false" ht="34.5" hidden="false" customHeight="true" outlineLevel="0" collapsed="false">
      <c r="A121" s="6" t="n">
        <v>120</v>
      </c>
      <c r="B121" s="6" t="s">
        <v>17</v>
      </c>
      <c r="C121" s="6" t="s">
        <v>18</v>
      </c>
      <c r="D121" s="6" t="s">
        <v>427</v>
      </c>
      <c r="E121" s="6" t="s">
        <v>643</v>
      </c>
      <c r="F121" s="6" t="s">
        <v>644</v>
      </c>
      <c r="G121" s="6"/>
      <c r="H121" s="6"/>
      <c r="I121" s="6" t="s">
        <v>645</v>
      </c>
      <c r="J121" s="6"/>
      <c r="K121" s="6"/>
      <c r="L121" s="6"/>
      <c r="M121" s="6"/>
      <c r="N121" s="6"/>
      <c r="O121" s="6"/>
      <c r="P121" s="5"/>
      <c r="Q121" s="5"/>
    </row>
    <row r="122" customFormat="false" ht="34.5" hidden="false" customHeight="true" outlineLevel="0" collapsed="false">
      <c r="A122" s="6" t="n">
        <v>121</v>
      </c>
      <c r="B122" s="6" t="s">
        <v>17</v>
      </c>
      <c r="C122" s="6" t="s">
        <v>18</v>
      </c>
      <c r="D122" s="6" t="s">
        <v>427</v>
      </c>
      <c r="E122" s="6" t="s">
        <v>646</v>
      </c>
      <c r="F122" s="6" t="s">
        <v>599</v>
      </c>
      <c r="G122" s="6"/>
      <c r="H122" s="6"/>
      <c r="I122" s="6" t="s">
        <v>647</v>
      </c>
      <c r="J122" s="6"/>
      <c r="K122" s="6"/>
      <c r="L122" s="6"/>
      <c r="M122" s="6"/>
      <c r="N122" s="6"/>
      <c r="O122" s="6"/>
      <c r="P122" s="5"/>
      <c r="Q122" s="5"/>
    </row>
    <row r="123" customFormat="false" ht="34.5" hidden="false" customHeight="true" outlineLevel="0" collapsed="false">
      <c r="A123" s="4" t="n">
        <v>122</v>
      </c>
      <c r="B123" s="4" t="s">
        <v>17</v>
      </c>
      <c r="C123" s="4" t="s">
        <v>39</v>
      </c>
      <c r="D123" s="4" t="s">
        <v>427</v>
      </c>
      <c r="E123" s="4" t="s">
        <v>648</v>
      </c>
      <c r="F123" s="4" t="s">
        <v>649</v>
      </c>
      <c r="G123" s="4" t="s">
        <v>650</v>
      </c>
      <c r="H123" s="4" t="s">
        <v>651</v>
      </c>
      <c r="I123" s="4" t="s">
        <v>24</v>
      </c>
      <c r="J123" s="4" t="s">
        <v>29</v>
      </c>
      <c r="K123" s="4" t="s">
        <v>652</v>
      </c>
      <c r="L123" s="4" t="s">
        <v>653</v>
      </c>
      <c r="M123" s="4" t="s">
        <v>654</v>
      </c>
      <c r="N123" s="4"/>
      <c r="O123" s="4" t="s">
        <v>29</v>
      </c>
      <c r="P123" s="5" t="s">
        <v>30</v>
      </c>
      <c r="Q123" s="5"/>
    </row>
    <row r="124" customFormat="false" ht="15" hidden="false" customHeight="true" outlineLevel="0" collapsed="false">
      <c r="A124" s="4" t="n">
        <v>123</v>
      </c>
      <c r="B124" s="4" t="s">
        <v>17</v>
      </c>
      <c r="C124" s="4" t="s">
        <v>100</v>
      </c>
      <c r="D124" s="4" t="s">
        <v>19</v>
      </c>
      <c r="E124" s="4" t="s">
        <v>655</v>
      </c>
      <c r="F124" s="4" t="s">
        <v>656</v>
      </c>
      <c r="G124" s="4"/>
      <c r="H124" s="4" t="s">
        <v>657</v>
      </c>
      <c r="I124" s="4" t="s">
        <v>24</v>
      </c>
      <c r="J124" s="4" t="s">
        <v>29</v>
      </c>
      <c r="K124" s="4" t="s">
        <v>658</v>
      </c>
      <c r="L124" s="4" t="s">
        <v>659</v>
      </c>
      <c r="M124" s="4" t="s">
        <v>660</v>
      </c>
      <c r="N124" s="4"/>
      <c r="O124" s="4" t="s">
        <v>29</v>
      </c>
      <c r="P124" s="5" t="s">
        <v>30</v>
      </c>
      <c r="Q124" s="5"/>
    </row>
    <row r="125" customFormat="false" ht="34.5" hidden="false" customHeight="true" outlineLevel="0" collapsed="false">
      <c r="A125" s="4" t="n">
        <v>124</v>
      </c>
      <c r="B125" s="4" t="s">
        <v>17</v>
      </c>
      <c r="C125" s="4" t="s">
        <v>280</v>
      </c>
      <c r="D125" s="4" t="s">
        <v>427</v>
      </c>
      <c r="E125" s="4" t="s">
        <v>661</v>
      </c>
      <c r="F125" s="4" t="s">
        <v>662</v>
      </c>
      <c r="G125" s="4" t="s">
        <v>663</v>
      </c>
      <c r="H125" s="4" t="s">
        <v>664</v>
      </c>
      <c r="I125" s="4" t="s">
        <v>24</v>
      </c>
      <c r="J125" s="4" t="s">
        <v>29</v>
      </c>
      <c r="K125" s="4" t="s">
        <v>665</v>
      </c>
      <c r="L125" s="4" t="s">
        <v>666</v>
      </c>
      <c r="M125" s="4" t="s">
        <v>667</v>
      </c>
      <c r="N125" s="4" t="s">
        <v>668</v>
      </c>
      <c r="O125" s="4" t="s">
        <v>29</v>
      </c>
      <c r="P125" s="5" t="s">
        <v>30</v>
      </c>
      <c r="Q125" s="5"/>
    </row>
    <row r="126" customFormat="false" ht="34.5" hidden="false" customHeight="true" outlineLevel="0" collapsed="false">
      <c r="A126" s="6" t="n">
        <v>125</v>
      </c>
      <c r="B126" s="6" t="s">
        <v>17</v>
      </c>
      <c r="C126" s="6" t="s">
        <v>39</v>
      </c>
      <c r="D126" s="6" t="s">
        <v>427</v>
      </c>
      <c r="E126" s="6" t="s">
        <v>669</v>
      </c>
      <c r="F126" s="6" t="s">
        <v>670</v>
      </c>
      <c r="G126" s="6"/>
      <c r="H126" s="6"/>
      <c r="I126" s="6" t="s">
        <v>671</v>
      </c>
      <c r="J126" s="6"/>
      <c r="K126" s="6"/>
      <c r="L126" s="6"/>
      <c r="M126" s="6"/>
      <c r="N126" s="6"/>
      <c r="O126" s="6"/>
      <c r="P126" s="5"/>
      <c r="Q126" s="5"/>
    </row>
    <row r="127" customFormat="false" ht="34.5" hidden="false" customHeight="true" outlineLevel="0" collapsed="false">
      <c r="A127" s="6" t="n">
        <v>126</v>
      </c>
      <c r="B127" s="6" t="s">
        <v>17</v>
      </c>
      <c r="C127" s="6" t="s">
        <v>39</v>
      </c>
      <c r="D127" s="6" t="s">
        <v>427</v>
      </c>
      <c r="E127" s="6" t="s">
        <v>672</v>
      </c>
      <c r="F127" s="6" t="s">
        <v>599</v>
      </c>
      <c r="G127" s="6"/>
      <c r="H127" s="6"/>
      <c r="I127" s="6" t="s">
        <v>673</v>
      </c>
      <c r="J127" s="6"/>
      <c r="K127" s="6"/>
      <c r="L127" s="6"/>
      <c r="M127" s="6"/>
      <c r="N127" s="6"/>
      <c r="O127" s="6"/>
      <c r="P127" s="5"/>
      <c r="Q127" s="5"/>
    </row>
    <row r="128" customFormat="false" ht="34.5" hidden="false" customHeight="true" outlineLevel="0" collapsed="false">
      <c r="A128" s="6" t="n">
        <v>127</v>
      </c>
      <c r="B128" s="6" t="s">
        <v>17</v>
      </c>
      <c r="C128" s="6" t="s">
        <v>100</v>
      </c>
      <c r="D128" s="6" t="s">
        <v>427</v>
      </c>
      <c r="E128" s="6" t="s">
        <v>674</v>
      </c>
      <c r="F128" s="6" t="s">
        <v>599</v>
      </c>
      <c r="G128" s="6"/>
      <c r="H128" s="6"/>
      <c r="I128" s="6" t="s">
        <v>675</v>
      </c>
      <c r="J128" s="6"/>
      <c r="K128" s="6"/>
      <c r="L128" s="6"/>
      <c r="M128" s="6"/>
      <c r="N128" s="6"/>
      <c r="O128" s="6"/>
      <c r="P128" s="5"/>
      <c r="Q128" s="5"/>
    </row>
    <row r="129" customFormat="false" ht="34.5" hidden="false" customHeight="true" outlineLevel="0" collapsed="false">
      <c r="A129" s="6" t="n">
        <v>128</v>
      </c>
      <c r="B129" s="6" t="s">
        <v>17</v>
      </c>
      <c r="C129" s="6" t="s">
        <v>280</v>
      </c>
      <c r="D129" s="6" t="s">
        <v>427</v>
      </c>
      <c r="E129" s="6" t="s">
        <v>676</v>
      </c>
      <c r="F129" s="6" t="s">
        <v>599</v>
      </c>
      <c r="G129" s="6"/>
      <c r="H129" s="6"/>
      <c r="I129" s="6" t="s">
        <v>677</v>
      </c>
      <c r="J129" s="6"/>
      <c r="K129" s="6"/>
      <c r="L129" s="6"/>
      <c r="M129" s="6"/>
      <c r="N129" s="6"/>
      <c r="O129" s="6"/>
      <c r="P129" s="5"/>
      <c r="Q129" s="5"/>
    </row>
    <row r="130" customFormat="false" ht="23.25" hidden="false" customHeight="true" outlineLevel="0" collapsed="false">
      <c r="A130" s="4" t="n">
        <v>129</v>
      </c>
      <c r="B130" s="4" t="s">
        <v>17</v>
      </c>
      <c r="C130" s="4" t="s">
        <v>31</v>
      </c>
      <c r="D130" s="4" t="s">
        <v>19</v>
      </c>
      <c r="E130" s="4" t="s">
        <v>678</v>
      </c>
      <c r="F130" s="4" t="s">
        <v>679</v>
      </c>
      <c r="G130" s="4"/>
      <c r="H130" s="4" t="s">
        <v>680</v>
      </c>
      <c r="I130" s="4" t="s">
        <v>24</v>
      </c>
      <c r="J130" s="4" t="s">
        <v>29</v>
      </c>
      <c r="K130" s="4" t="s">
        <v>681</v>
      </c>
      <c r="L130" s="4" t="s">
        <v>682</v>
      </c>
      <c r="M130" s="4" t="s">
        <v>683</v>
      </c>
      <c r="N130" s="4"/>
      <c r="O130" s="4" t="s">
        <v>29</v>
      </c>
      <c r="P130" s="5" t="s">
        <v>30</v>
      </c>
      <c r="Q130" s="5"/>
    </row>
    <row r="131" customFormat="false" ht="23.25" hidden="false" customHeight="true" outlineLevel="0" collapsed="false">
      <c r="A131" s="4" t="n">
        <v>130</v>
      </c>
      <c r="B131" s="4" t="s">
        <v>17</v>
      </c>
      <c r="C131" s="4" t="s">
        <v>208</v>
      </c>
      <c r="D131" s="4" t="s">
        <v>19</v>
      </c>
      <c r="E131" s="4" t="s">
        <v>684</v>
      </c>
      <c r="F131" s="4" t="s">
        <v>685</v>
      </c>
      <c r="G131" s="4"/>
      <c r="H131" s="4" t="s">
        <v>686</v>
      </c>
      <c r="I131" s="4" t="s">
        <v>24</v>
      </c>
      <c r="J131" s="4" t="s">
        <v>29</v>
      </c>
      <c r="K131" s="4" t="s">
        <v>687</v>
      </c>
      <c r="L131" s="4" t="s">
        <v>688</v>
      </c>
      <c r="M131" s="4" t="s">
        <v>689</v>
      </c>
      <c r="N131" s="4"/>
      <c r="O131" s="4" t="s">
        <v>29</v>
      </c>
      <c r="P131" s="5" t="s">
        <v>690</v>
      </c>
      <c r="Q131" s="5" t="s">
        <v>691</v>
      </c>
    </row>
    <row r="132" customFormat="false" ht="23.25" hidden="false" customHeight="true" outlineLevel="0" collapsed="false">
      <c r="A132" s="4" t="n">
        <v>131</v>
      </c>
      <c r="B132" s="4" t="s">
        <v>17</v>
      </c>
      <c r="C132" s="4" t="s">
        <v>92</v>
      </c>
      <c r="D132" s="4" t="s">
        <v>19</v>
      </c>
      <c r="E132" s="4" t="s">
        <v>692</v>
      </c>
      <c r="F132" s="4" t="s">
        <v>693</v>
      </c>
      <c r="G132" s="4"/>
      <c r="H132" s="4" t="s">
        <v>694</v>
      </c>
      <c r="I132" s="4" t="s">
        <v>24</v>
      </c>
      <c r="J132" s="4" t="s">
        <v>29</v>
      </c>
      <c r="K132" s="4" t="s">
        <v>695</v>
      </c>
      <c r="L132" s="4" t="s">
        <v>696</v>
      </c>
      <c r="M132" s="4" t="s">
        <v>697</v>
      </c>
      <c r="N132" s="4"/>
      <c r="O132" s="4" t="s">
        <v>29</v>
      </c>
      <c r="P132" s="5" t="s">
        <v>30</v>
      </c>
      <c r="Q132" s="5"/>
    </row>
    <row r="133" customFormat="false" ht="23.25" hidden="false" customHeight="true" outlineLevel="0" collapsed="false">
      <c r="A133" s="4" t="n">
        <v>132</v>
      </c>
      <c r="B133" s="4" t="s">
        <v>17</v>
      </c>
      <c r="C133" s="4" t="s">
        <v>221</v>
      </c>
      <c r="D133" s="4" t="s">
        <v>698</v>
      </c>
      <c r="E133" s="4" t="s">
        <v>699</v>
      </c>
      <c r="F133" s="4" t="s">
        <v>700</v>
      </c>
      <c r="G133" s="4"/>
      <c r="H133" s="4" t="s">
        <v>701</v>
      </c>
      <c r="I133" s="4" t="s">
        <v>24</v>
      </c>
      <c r="J133" s="4" t="s">
        <v>29</v>
      </c>
      <c r="K133" s="4" t="s">
        <v>702</v>
      </c>
      <c r="L133" s="4" t="s">
        <v>703</v>
      </c>
      <c r="M133" s="4" t="s">
        <v>704</v>
      </c>
      <c r="N133" s="4"/>
      <c r="O133" s="4" t="s">
        <v>29</v>
      </c>
      <c r="P133" s="5" t="s">
        <v>30</v>
      </c>
      <c r="Q133" s="5"/>
    </row>
    <row r="134" customFormat="false" ht="34.5" hidden="false" customHeight="true" outlineLevel="0" collapsed="false">
      <c r="A134" s="6" t="n">
        <v>133</v>
      </c>
      <c r="B134" s="6" t="s">
        <v>17</v>
      </c>
      <c r="C134" s="6" t="s">
        <v>31</v>
      </c>
      <c r="D134" s="6" t="s">
        <v>19</v>
      </c>
      <c r="E134" s="6" t="s">
        <v>705</v>
      </c>
      <c r="F134" s="6" t="s">
        <v>706</v>
      </c>
      <c r="G134" s="6"/>
      <c r="H134" s="6"/>
      <c r="I134" s="6" t="s">
        <v>707</v>
      </c>
      <c r="J134" s="6"/>
      <c r="K134" s="6"/>
      <c r="L134" s="6"/>
      <c r="M134" s="6"/>
      <c r="N134" s="6"/>
      <c r="O134" s="6"/>
      <c r="P134" s="5"/>
      <c r="Q134" s="5"/>
    </row>
    <row r="135" customFormat="false" ht="34.5" hidden="false" customHeight="true" outlineLevel="0" collapsed="false">
      <c r="A135" s="6" t="n">
        <v>134</v>
      </c>
      <c r="B135" s="6" t="s">
        <v>17</v>
      </c>
      <c r="C135" s="6" t="s">
        <v>31</v>
      </c>
      <c r="D135" s="6" t="s">
        <v>427</v>
      </c>
      <c r="E135" s="6" t="s">
        <v>708</v>
      </c>
      <c r="F135" s="6" t="s">
        <v>709</v>
      </c>
      <c r="G135" s="6" t="s">
        <v>710</v>
      </c>
      <c r="H135" s="6"/>
      <c r="I135" s="6" t="s">
        <v>711</v>
      </c>
      <c r="J135" s="6"/>
      <c r="K135" s="6"/>
      <c r="L135" s="6"/>
      <c r="M135" s="6"/>
      <c r="N135" s="6"/>
      <c r="O135" s="6"/>
      <c r="P135" s="5"/>
      <c r="Q135" s="5"/>
    </row>
    <row r="136" customFormat="false" ht="23.25" hidden="false" customHeight="true" outlineLevel="0" collapsed="false">
      <c r="A136" s="6" t="n">
        <v>135</v>
      </c>
      <c r="B136" s="6" t="s">
        <v>17</v>
      </c>
      <c r="C136" s="6" t="s">
        <v>31</v>
      </c>
      <c r="D136" s="6" t="s">
        <v>19</v>
      </c>
      <c r="E136" s="6" t="s">
        <v>712</v>
      </c>
      <c r="F136" s="6" t="s">
        <v>713</v>
      </c>
      <c r="G136" s="6"/>
      <c r="H136" s="6"/>
      <c r="I136" s="6" t="s">
        <v>714</v>
      </c>
      <c r="J136" s="6"/>
      <c r="K136" s="6"/>
      <c r="L136" s="6"/>
      <c r="M136" s="6"/>
      <c r="N136" s="6"/>
      <c r="O136" s="6"/>
      <c r="P136" s="5"/>
      <c r="Q136" s="5"/>
    </row>
    <row r="137" customFormat="false" ht="23.25" hidden="false" customHeight="true" outlineLevel="0" collapsed="false">
      <c r="A137" s="6" t="n">
        <v>136</v>
      </c>
      <c r="B137" s="6" t="s">
        <v>17</v>
      </c>
      <c r="C137" s="6" t="s">
        <v>31</v>
      </c>
      <c r="D137" s="6" t="s">
        <v>19</v>
      </c>
      <c r="E137" s="6" t="s">
        <v>715</v>
      </c>
      <c r="F137" s="6" t="s">
        <v>716</v>
      </c>
      <c r="G137" s="6"/>
      <c r="H137" s="6"/>
      <c r="I137" s="6" t="s">
        <v>717</v>
      </c>
      <c r="J137" s="6"/>
      <c r="K137" s="6"/>
      <c r="L137" s="6"/>
      <c r="M137" s="6"/>
      <c r="N137" s="6"/>
      <c r="O137" s="6"/>
      <c r="P137" s="5"/>
      <c r="Q137" s="5"/>
    </row>
    <row r="138" customFormat="false" ht="34.5" hidden="false" customHeight="true" outlineLevel="0" collapsed="false">
      <c r="A138" s="6" t="n">
        <v>137</v>
      </c>
      <c r="B138" s="6" t="s">
        <v>17</v>
      </c>
      <c r="C138" s="6" t="s">
        <v>31</v>
      </c>
      <c r="D138" s="6" t="s">
        <v>427</v>
      </c>
      <c r="E138" s="6" t="s">
        <v>718</v>
      </c>
      <c r="F138" s="6" t="s">
        <v>599</v>
      </c>
      <c r="G138" s="6"/>
      <c r="H138" s="6"/>
      <c r="I138" s="6" t="s">
        <v>647</v>
      </c>
      <c r="J138" s="6"/>
      <c r="K138" s="6"/>
      <c r="L138" s="6"/>
      <c r="M138" s="6"/>
      <c r="N138" s="6"/>
      <c r="O138" s="6"/>
      <c r="P138" s="5"/>
      <c r="Q138" s="5"/>
    </row>
    <row r="139" customFormat="false" ht="34.5" hidden="false" customHeight="true" outlineLevel="0" collapsed="false">
      <c r="A139" s="4" t="n">
        <v>138</v>
      </c>
      <c r="B139" s="4" t="s">
        <v>17</v>
      </c>
      <c r="C139" s="4" t="s">
        <v>208</v>
      </c>
      <c r="D139" s="4" t="s">
        <v>427</v>
      </c>
      <c r="E139" s="4" t="s">
        <v>719</v>
      </c>
      <c r="F139" s="4" t="s">
        <v>720</v>
      </c>
      <c r="G139" s="4"/>
      <c r="H139" s="4" t="s">
        <v>721</v>
      </c>
      <c r="I139" s="4" t="s">
        <v>24</v>
      </c>
      <c r="J139" s="4" t="s">
        <v>29</v>
      </c>
      <c r="K139" s="4" t="s">
        <v>722</v>
      </c>
      <c r="L139" s="4" t="s">
        <v>723</v>
      </c>
      <c r="M139" s="4" t="s">
        <v>724</v>
      </c>
      <c r="N139" s="4" t="s">
        <v>725</v>
      </c>
      <c r="O139" s="4" t="s">
        <v>29</v>
      </c>
      <c r="P139" s="5" t="s">
        <v>30</v>
      </c>
      <c r="Q139" s="5"/>
    </row>
    <row r="140" customFormat="false" ht="23.25" hidden="false" customHeight="true" outlineLevel="0" collapsed="false">
      <c r="A140" s="4" t="n">
        <v>139</v>
      </c>
      <c r="B140" s="4" t="s">
        <v>17</v>
      </c>
      <c r="C140" s="4" t="s">
        <v>114</v>
      </c>
      <c r="D140" s="4" t="s">
        <v>19</v>
      </c>
      <c r="E140" s="4" t="s">
        <v>726</v>
      </c>
      <c r="F140" s="4" t="s">
        <v>727</v>
      </c>
      <c r="G140" s="4"/>
      <c r="H140" s="4" t="s">
        <v>728</v>
      </c>
      <c r="I140" s="4" t="s">
        <v>24</v>
      </c>
      <c r="J140" s="4" t="s">
        <v>29</v>
      </c>
      <c r="K140" s="4" t="s">
        <v>729</v>
      </c>
      <c r="L140" s="4" t="s">
        <v>730</v>
      </c>
      <c r="M140" s="4" t="s">
        <v>731</v>
      </c>
      <c r="N140" s="4"/>
      <c r="O140" s="4" t="s">
        <v>29</v>
      </c>
      <c r="P140" s="5" t="s">
        <v>30</v>
      </c>
      <c r="Q140" s="5"/>
    </row>
    <row r="141" customFormat="false" ht="23.25" hidden="false" customHeight="true" outlineLevel="0" collapsed="false">
      <c r="A141" s="4" t="n">
        <v>140</v>
      </c>
      <c r="B141" s="4" t="s">
        <v>17</v>
      </c>
      <c r="C141" s="4" t="s">
        <v>221</v>
      </c>
      <c r="D141" s="4" t="s">
        <v>19</v>
      </c>
      <c r="E141" s="4" t="s">
        <v>732</v>
      </c>
      <c r="F141" s="4" t="s">
        <v>733</v>
      </c>
      <c r="G141" s="4"/>
      <c r="H141" s="4" t="s">
        <v>734</v>
      </c>
      <c r="I141" s="4" t="s">
        <v>24</v>
      </c>
      <c r="J141" s="4" t="s">
        <v>29</v>
      </c>
      <c r="K141" s="4" t="s">
        <v>735</v>
      </c>
      <c r="L141" s="4" t="s">
        <v>736</v>
      </c>
      <c r="M141" s="4" t="s">
        <v>737</v>
      </c>
      <c r="N141" s="4"/>
      <c r="O141" s="4" t="s">
        <v>29</v>
      </c>
      <c r="P141" s="5" t="s">
        <v>30</v>
      </c>
      <c r="Q141" s="5"/>
    </row>
    <row r="142" customFormat="false" ht="15" hidden="false" customHeight="true" outlineLevel="0" collapsed="false">
      <c r="A142" s="6" t="n">
        <v>141</v>
      </c>
      <c r="B142" s="6" t="s">
        <v>17</v>
      </c>
      <c r="C142" s="6" t="s">
        <v>221</v>
      </c>
      <c r="D142" s="6" t="s">
        <v>19</v>
      </c>
      <c r="E142" s="6" t="s">
        <v>738</v>
      </c>
      <c r="F142" s="6" t="s">
        <v>739</v>
      </c>
      <c r="G142" s="6"/>
      <c r="H142" s="6"/>
      <c r="I142" s="6" t="s">
        <v>740</v>
      </c>
      <c r="J142" s="6"/>
      <c r="K142" s="6"/>
      <c r="L142" s="6"/>
      <c r="M142" s="6"/>
      <c r="N142" s="6" t="s">
        <v>741</v>
      </c>
      <c r="O142" s="6"/>
      <c r="P142" s="5"/>
      <c r="Q142" s="5"/>
    </row>
    <row r="143" customFormat="false" ht="15" hidden="false" customHeight="true" outlineLevel="0" collapsed="false">
      <c r="A143" s="6" t="n">
        <v>142</v>
      </c>
      <c r="B143" s="6" t="s">
        <v>17</v>
      </c>
      <c r="C143" s="6" t="s">
        <v>194</v>
      </c>
      <c r="D143" s="6" t="s">
        <v>19</v>
      </c>
      <c r="E143" s="6" t="s">
        <v>742</v>
      </c>
      <c r="F143" s="6" t="s">
        <v>743</v>
      </c>
      <c r="G143" s="6"/>
      <c r="H143" s="6"/>
      <c r="I143" s="6" t="s">
        <v>744</v>
      </c>
      <c r="J143" s="6"/>
      <c r="K143" s="6"/>
      <c r="L143" s="6"/>
      <c r="M143" s="6"/>
      <c r="N143" s="6"/>
      <c r="O143" s="6"/>
      <c r="P143" s="5"/>
      <c r="Q143" s="5"/>
    </row>
    <row r="144" customFormat="false" ht="23.25" hidden="false" customHeight="true" outlineLevel="0" collapsed="false">
      <c r="A144" s="4" t="n">
        <v>143</v>
      </c>
      <c r="B144" s="4" t="s">
        <v>17</v>
      </c>
      <c r="C144" s="4" t="s">
        <v>208</v>
      </c>
      <c r="D144" s="4" t="s">
        <v>19</v>
      </c>
      <c r="E144" s="4" t="s">
        <v>745</v>
      </c>
      <c r="F144" s="4" t="s">
        <v>746</v>
      </c>
      <c r="G144" s="4" t="s">
        <v>747</v>
      </c>
      <c r="H144" s="4" t="s">
        <v>748</v>
      </c>
      <c r="I144" s="4" t="s">
        <v>24</v>
      </c>
      <c r="J144" s="4" t="s">
        <v>29</v>
      </c>
      <c r="K144" s="4" t="s">
        <v>749</v>
      </c>
      <c r="L144" s="4" t="s">
        <v>750</v>
      </c>
      <c r="M144" s="4" t="s">
        <v>751</v>
      </c>
      <c r="N144" s="4"/>
      <c r="O144" s="4" t="s">
        <v>29</v>
      </c>
      <c r="P144" s="5" t="s">
        <v>30</v>
      </c>
      <c r="Q144" s="5"/>
    </row>
    <row r="145" customFormat="false" ht="23.25" hidden="false" customHeight="true" outlineLevel="0" collapsed="false">
      <c r="A145" s="4" t="n">
        <v>144</v>
      </c>
      <c r="B145" s="4" t="s">
        <v>17</v>
      </c>
      <c r="C145" s="4" t="s">
        <v>194</v>
      </c>
      <c r="D145" s="4" t="s">
        <v>19</v>
      </c>
      <c r="E145" s="4" t="s">
        <v>752</v>
      </c>
      <c r="F145" s="4" t="s">
        <v>753</v>
      </c>
      <c r="G145" s="4"/>
      <c r="H145" s="4" t="s">
        <v>754</v>
      </c>
      <c r="I145" s="4" t="s">
        <v>24</v>
      </c>
      <c r="J145" s="4" t="s">
        <v>29</v>
      </c>
      <c r="K145" s="4" t="s">
        <v>755</v>
      </c>
      <c r="L145" s="4" t="s">
        <v>756</v>
      </c>
      <c r="M145" s="4" t="s">
        <v>757</v>
      </c>
      <c r="N145" s="4"/>
      <c r="O145" s="4" t="s">
        <v>29</v>
      </c>
      <c r="P145" s="5" t="s">
        <v>30</v>
      </c>
      <c r="Q145" s="5"/>
    </row>
    <row r="146" customFormat="false" ht="23.25" hidden="false" customHeight="true" outlineLevel="0" collapsed="false">
      <c r="A146" s="4" t="n">
        <v>145</v>
      </c>
      <c r="B146" s="4" t="s">
        <v>17</v>
      </c>
      <c r="C146" s="4" t="s">
        <v>92</v>
      </c>
      <c r="D146" s="4" t="s">
        <v>19</v>
      </c>
      <c r="E146" s="4" t="s">
        <v>758</v>
      </c>
      <c r="F146" s="4" t="s">
        <v>759</v>
      </c>
      <c r="G146" s="4" t="s">
        <v>760</v>
      </c>
      <c r="H146" s="4" t="s">
        <v>761</v>
      </c>
      <c r="I146" s="4" t="s">
        <v>24</v>
      </c>
      <c r="J146" s="4" t="s">
        <v>29</v>
      </c>
      <c r="K146" s="4" t="s">
        <v>762</v>
      </c>
      <c r="L146" s="4" t="s">
        <v>763</v>
      </c>
      <c r="M146" s="4" t="s">
        <v>764</v>
      </c>
      <c r="N146" s="4" t="s">
        <v>765</v>
      </c>
      <c r="O146" s="4" t="s">
        <v>29</v>
      </c>
      <c r="P146" s="5" t="s">
        <v>30</v>
      </c>
      <c r="Q146" s="5"/>
    </row>
    <row r="147" customFormat="false" ht="23.25" hidden="false" customHeight="true" outlineLevel="0" collapsed="false">
      <c r="A147" s="6" t="n">
        <v>146</v>
      </c>
      <c r="B147" s="6" t="s">
        <v>17</v>
      </c>
      <c r="C147" s="6" t="s">
        <v>248</v>
      </c>
      <c r="D147" s="6" t="s">
        <v>19</v>
      </c>
      <c r="E147" s="6" t="s">
        <v>766</v>
      </c>
      <c r="F147" s="6" t="s">
        <v>767</v>
      </c>
      <c r="G147" s="6"/>
      <c r="H147" s="6"/>
      <c r="I147" s="6" t="s">
        <v>768</v>
      </c>
      <c r="J147" s="6"/>
      <c r="K147" s="6"/>
      <c r="L147" s="6"/>
      <c r="M147" s="6"/>
      <c r="N147" s="6"/>
      <c r="O147" s="6"/>
      <c r="P147" s="5"/>
      <c r="Q147" s="5"/>
    </row>
    <row r="148" customFormat="false" ht="23.25" hidden="false" customHeight="true" outlineLevel="0" collapsed="false">
      <c r="A148" s="6" t="n">
        <v>147</v>
      </c>
      <c r="B148" s="6" t="s">
        <v>17</v>
      </c>
      <c r="C148" s="6" t="s">
        <v>301</v>
      </c>
      <c r="D148" s="6" t="s">
        <v>769</v>
      </c>
      <c r="E148" s="6" t="s">
        <v>770</v>
      </c>
      <c r="F148" s="6" t="s">
        <v>599</v>
      </c>
      <c r="G148" s="6"/>
      <c r="H148" s="6"/>
      <c r="I148" s="6" t="s">
        <v>647</v>
      </c>
      <c r="J148" s="6"/>
      <c r="K148" s="6"/>
      <c r="L148" s="6"/>
      <c r="M148" s="6"/>
      <c r="N148" s="6"/>
      <c r="O148" s="6"/>
      <c r="P148" s="5"/>
      <c r="Q148" s="5"/>
    </row>
    <row r="149" customFormat="false" ht="34.5" hidden="false" customHeight="true" outlineLevel="0" collapsed="false">
      <c r="A149" s="6" t="n">
        <v>148</v>
      </c>
      <c r="B149" s="6" t="s">
        <v>17</v>
      </c>
      <c r="C149" s="6" t="s">
        <v>208</v>
      </c>
      <c r="D149" s="6" t="s">
        <v>771</v>
      </c>
      <c r="E149" s="6" t="s">
        <v>772</v>
      </c>
      <c r="F149" s="6"/>
      <c r="G149" s="6"/>
      <c r="H149" s="6"/>
      <c r="I149" s="6" t="s">
        <v>773</v>
      </c>
      <c r="J149" s="6"/>
      <c r="K149" s="6"/>
      <c r="L149" s="6"/>
      <c r="M149" s="6"/>
      <c r="N149" s="6"/>
      <c r="O149" s="6"/>
      <c r="P149" s="5"/>
      <c r="Q149" s="5"/>
    </row>
    <row r="150" customFormat="false" ht="34.5" hidden="false" customHeight="true" outlineLevel="0" collapsed="false">
      <c r="A150" s="4" t="n">
        <v>149</v>
      </c>
      <c r="B150" s="4" t="s">
        <v>17</v>
      </c>
      <c r="C150" s="4" t="s">
        <v>221</v>
      </c>
      <c r="D150" s="4" t="s">
        <v>427</v>
      </c>
      <c r="E150" s="4" t="s">
        <v>774</v>
      </c>
      <c r="F150" s="4" t="s">
        <v>775</v>
      </c>
      <c r="G150" s="4"/>
      <c r="H150" s="4" t="s">
        <v>776</v>
      </c>
      <c r="I150" s="4" t="s">
        <v>24</v>
      </c>
      <c r="J150" s="4" t="s">
        <v>29</v>
      </c>
      <c r="K150" s="4" t="s">
        <v>777</v>
      </c>
      <c r="L150" s="4" t="s">
        <v>778</v>
      </c>
      <c r="M150" s="4" t="s">
        <v>779</v>
      </c>
      <c r="N150" s="4" t="s">
        <v>780</v>
      </c>
      <c r="O150" s="4" t="s">
        <v>29</v>
      </c>
      <c r="P150" s="5" t="s">
        <v>30</v>
      </c>
      <c r="Q150" s="5"/>
    </row>
    <row r="151" customFormat="false" ht="23.25" hidden="false" customHeight="true" outlineLevel="0" collapsed="false">
      <c r="A151" s="4" t="n">
        <v>150</v>
      </c>
      <c r="B151" s="4" t="s">
        <v>17</v>
      </c>
      <c r="C151" s="4" t="s">
        <v>92</v>
      </c>
      <c r="D151" s="4" t="s">
        <v>19</v>
      </c>
      <c r="E151" s="4" t="s">
        <v>781</v>
      </c>
      <c r="F151" s="4" t="s">
        <v>782</v>
      </c>
      <c r="G151" s="4" t="s">
        <v>783</v>
      </c>
      <c r="H151" s="4" t="s">
        <v>784</v>
      </c>
      <c r="I151" s="4" t="s">
        <v>24</v>
      </c>
      <c r="J151" s="4" t="s">
        <v>29</v>
      </c>
      <c r="K151" s="4" t="s">
        <v>785</v>
      </c>
      <c r="L151" s="4" t="s">
        <v>786</v>
      </c>
      <c r="M151" s="4" t="s">
        <v>787</v>
      </c>
      <c r="N151" s="4"/>
      <c r="O151" s="4" t="s">
        <v>29</v>
      </c>
      <c r="P151" s="5" t="s">
        <v>30</v>
      </c>
      <c r="Q151" s="5"/>
    </row>
    <row r="152" customFormat="false" ht="23.25" hidden="false" customHeight="true" outlineLevel="0" collapsed="false">
      <c r="A152" s="4" t="n">
        <v>151</v>
      </c>
      <c r="B152" s="4" t="s">
        <v>17</v>
      </c>
      <c r="C152" s="4" t="s">
        <v>208</v>
      </c>
      <c r="D152" s="4" t="s">
        <v>19</v>
      </c>
      <c r="E152" s="4" t="s">
        <v>788</v>
      </c>
      <c r="F152" s="4" t="s">
        <v>789</v>
      </c>
      <c r="G152" s="4" t="s">
        <v>790</v>
      </c>
      <c r="H152" s="4" t="s">
        <v>791</v>
      </c>
      <c r="I152" s="4" t="s">
        <v>24</v>
      </c>
      <c r="J152" s="4" t="s">
        <v>29</v>
      </c>
      <c r="K152" s="4" t="s">
        <v>792</v>
      </c>
      <c r="L152" s="4" t="s">
        <v>793</v>
      </c>
      <c r="M152" s="4" t="s">
        <v>794</v>
      </c>
      <c r="N152" s="4"/>
      <c r="O152" s="4" t="s">
        <v>29</v>
      </c>
      <c r="P152" s="5" t="s">
        <v>30</v>
      </c>
      <c r="Q152" s="5"/>
    </row>
    <row r="153" customFormat="false" ht="34.5" hidden="false" customHeight="true" outlineLevel="0" collapsed="false">
      <c r="A153" s="4" t="n">
        <v>152</v>
      </c>
      <c r="B153" s="4" t="s">
        <v>17</v>
      </c>
      <c r="C153" s="4" t="s">
        <v>208</v>
      </c>
      <c r="D153" s="4" t="s">
        <v>427</v>
      </c>
      <c r="E153" s="4" t="s">
        <v>795</v>
      </c>
      <c r="F153" s="4" t="s">
        <v>796</v>
      </c>
      <c r="G153" s="4" t="s">
        <v>797</v>
      </c>
      <c r="H153" s="4" t="s">
        <v>798</v>
      </c>
      <c r="I153" s="4" t="s">
        <v>24</v>
      </c>
      <c r="J153" s="4" t="s">
        <v>29</v>
      </c>
      <c r="K153" s="4" t="s">
        <v>799</v>
      </c>
      <c r="L153" s="4" t="s">
        <v>800</v>
      </c>
      <c r="M153" s="4" t="s">
        <v>801</v>
      </c>
      <c r="N153" s="4"/>
      <c r="O153" s="4" t="s">
        <v>29</v>
      </c>
      <c r="P153" s="5" t="s">
        <v>30</v>
      </c>
      <c r="Q153" s="5"/>
    </row>
    <row r="154" customFormat="false" ht="15" hidden="false" customHeight="true" outlineLevel="0" collapsed="false">
      <c r="A154" s="6" t="n">
        <v>153</v>
      </c>
      <c r="B154" s="6" t="s">
        <v>17</v>
      </c>
      <c r="C154" s="6" t="s">
        <v>92</v>
      </c>
      <c r="D154" s="6" t="s">
        <v>19</v>
      </c>
      <c r="E154" s="6" t="s">
        <v>802</v>
      </c>
      <c r="F154" s="6" t="s">
        <v>803</v>
      </c>
      <c r="G154" s="6"/>
      <c r="H154" s="6"/>
      <c r="I154" s="6" t="s">
        <v>740</v>
      </c>
      <c r="J154" s="6"/>
      <c r="K154" s="6"/>
      <c r="L154" s="6"/>
      <c r="M154" s="6"/>
      <c r="N154" s="6"/>
      <c r="O154" s="6"/>
      <c r="P154" s="5"/>
      <c r="Q154" s="5"/>
    </row>
    <row r="155" customFormat="false" ht="23.25" hidden="false" customHeight="true" outlineLevel="0" collapsed="false">
      <c r="A155" s="6" t="n">
        <v>154</v>
      </c>
      <c r="B155" s="6" t="s">
        <v>17</v>
      </c>
      <c r="C155" s="6" t="s">
        <v>179</v>
      </c>
      <c r="D155" s="6" t="s">
        <v>19</v>
      </c>
      <c r="E155" s="6" t="s">
        <v>804</v>
      </c>
      <c r="F155" s="6" t="s">
        <v>805</v>
      </c>
      <c r="G155" s="6"/>
      <c r="H155" s="6"/>
      <c r="I155" s="6" t="s">
        <v>806</v>
      </c>
      <c r="J155" s="6"/>
      <c r="K155" s="6"/>
      <c r="L155" s="6"/>
      <c r="M155" s="6"/>
      <c r="N155" s="6"/>
      <c r="O155" s="6"/>
      <c r="P155" s="5"/>
      <c r="Q155" s="5"/>
    </row>
    <row r="156" customFormat="false" ht="34.5" hidden="false" customHeight="true" outlineLevel="0" collapsed="false">
      <c r="A156" s="6" t="n">
        <v>155</v>
      </c>
      <c r="B156" s="6" t="s">
        <v>17</v>
      </c>
      <c r="C156" s="6" t="s">
        <v>221</v>
      </c>
      <c r="D156" s="6" t="s">
        <v>427</v>
      </c>
      <c r="E156" s="6" t="s">
        <v>807</v>
      </c>
      <c r="F156" s="6" t="s">
        <v>599</v>
      </c>
      <c r="G156" s="6"/>
      <c r="H156" s="6"/>
      <c r="I156" s="6" t="s">
        <v>808</v>
      </c>
      <c r="J156" s="6"/>
      <c r="K156" s="6"/>
      <c r="L156" s="6"/>
      <c r="M156" s="6"/>
      <c r="N156" s="6"/>
      <c r="O156" s="6"/>
      <c r="P156" s="5"/>
      <c r="Q156" s="5"/>
    </row>
    <row r="157" customFormat="false" ht="23.25" hidden="false" customHeight="true" outlineLevel="0" collapsed="false">
      <c r="A157" s="4" t="n">
        <v>156</v>
      </c>
      <c r="B157" s="4" t="s">
        <v>48</v>
      </c>
      <c r="C157" s="4" t="s">
        <v>64</v>
      </c>
      <c r="D157" s="4" t="s">
        <v>809</v>
      </c>
      <c r="E157" s="4" t="s">
        <v>810</v>
      </c>
      <c r="F157" s="4" t="s">
        <v>811</v>
      </c>
      <c r="G157" s="4"/>
      <c r="H157" s="4" t="s">
        <v>812</v>
      </c>
      <c r="I157" s="4" t="s">
        <v>24</v>
      </c>
      <c r="J157" s="4" t="s">
        <v>29</v>
      </c>
      <c r="K157" s="4" t="s">
        <v>813</v>
      </c>
      <c r="L157" s="4" t="s">
        <v>814</v>
      </c>
      <c r="M157" s="4" t="s">
        <v>815</v>
      </c>
      <c r="N157" s="4"/>
      <c r="O157" s="4" t="s">
        <v>29</v>
      </c>
      <c r="P157" s="5" t="s">
        <v>30</v>
      </c>
      <c r="Q157" s="5"/>
    </row>
    <row r="158" customFormat="false" ht="23.25" hidden="false" customHeight="true" outlineLevel="0" collapsed="false">
      <c r="A158" s="4" t="n">
        <v>157</v>
      </c>
      <c r="B158" s="4" t="s">
        <v>48</v>
      </c>
      <c r="C158" s="4" t="s">
        <v>816</v>
      </c>
      <c r="D158" s="4" t="s">
        <v>19</v>
      </c>
      <c r="E158" s="4" t="s">
        <v>817</v>
      </c>
      <c r="F158" s="4" t="s">
        <v>818</v>
      </c>
      <c r="G158" s="4" t="s">
        <v>819</v>
      </c>
      <c r="H158" s="4" t="s">
        <v>820</v>
      </c>
      <c r="I158" s="4" t="s">
        <v>24</v>
      </c>
      <c r="J158" s="4" t="s">
        <v>29</v>
      </c>
      <c r="K158" s="4" t="s">
        <v>821</v>
      </c>
      <c r="L158" s="4" t="s">
        <v>822</v>
      </c>
      <c r="M158" s="4" t="s">
        <v>823</v>
      </c>
      <c r="N158" s="4"/>
      <c r="O158" s="4" t="s">
        <v>29</v>
      </c>
      <c r="P158" s="5" t="s">
        <v>30</v>
      </c>
      <c r="Q158" s="5"/>
    </row>
    <row r="159" customFormat="false" ht="23.25" hidden="false" customHeight="true" outlineLevel="0" collapsed="false">
      <c r="A159" s="4" t="n">
        <v>158</v>
      </c>
      <c r="B159" s="4" t="s">
        <v>48</v>
      </c>
      <c r="C159" s="4" t="s">
        <v>327</v>
      </c>
      <c r="D159" s="4" t="s">
        <v>824</v>
      </c>
      <c r="E159" s="4" t="s">
        <v>825</v>
      </c>
      <c r="F159" s="4" t="s">
        <v>826</v>
      </c>
      <c r="G159" s="4"/>
      <c r="H159" s="4" t="s">
        <v>827</v>
      </c>
      <c r="I159" s="4" t="s">
        <v>24</v>
      </c>
      <c r="J159" s="4" t="s">
        <v>29</v>
      </c>
      <c r="K159" s="4" t="s">
        <v>828</v>
      </c>
      <c r="L159" s="4" t="s">
        <v>829</v>
      </c>
      <c r="M159" s="4" t="s">
        <v>830</v>
      </c>
      <c r="N159" s="4"/>
      <c r="O159" s="4" t="s">
        <v>29</v>
      </c>
      <c r="P159" s="5" t="s">
        <v>30</v>
      </c>
      <c r="Q159" s="5"/>
    </row>
    <row r="160" customFormat="false" ht="23.25" hidden="false" customHeight="true" outlineLevel="0" collapsed="false">
      <c r="A160" s="4" t="n">
        <v>159</v>
      </c>
      <c r="B160" s="4" t="s">
        <v>48</v>
      </c>
      <c r="C160" s="4" t="s">
        <v>334</v>
      </c>
      <c r="D160" s="4" t="s">
        <v>19</v>
      </c>
      <c r="E160" s="4" t="s">
        <v>831</v>
      </c>
      <c r="F160" s="4" t="s">
        <v>832</v>
      </c>
      <c r="G160" s="4" t="s">
        <v>833</v>
      </c>
      <c r="H160" s="4" t="s">
        <v>834</v>
      </c>
      <c r="I160" s="4" t="s">
        <v>24</v>
      </c>
      <c r="J160" s="4" t="s">
        <v>29</v>
      </c>
      <c r="K160" s="4" t="s">
        <v>835</v>
      </c>
      <c r="L160" s="4" t="s">
        <v>836</v>
      </c>
      <c r="M160" s="4" t="s">
        <v>837</v>
      </c>
      <c r="N160" s="4" t="s">
        <v>838</v>
      </c>
      <c r="O160" s="4" t="s">
        <v>29</v>
      </c>
      <c r="P160" s="5" t="s">
        <v>30</v>
      </c>
      <c r="Q160" s="5"/>
    </row>
    <row r="161" customFormat="false" ht="23.25" hidden="false" customHeight="true" outlineLevel="0" collapsed="false">
      <c r="A161" s="4" t="n">
        <v>160</v>
      </c>
      <c r="B161" s="4" t="s">
        <v>48</v>
      </c>
      <c r="C161" s="4" t="s">
        <v>416</v>
      </c>
      <c r="D161" s="4" t="s">
        <v>839</v>
      </c>
      <c r="E161" s="4" t="s">
        <v>840</v>
      </c>
      <c r="F161" s="4" t="s">
        <v>840</v>
      </c>
      <c r="G161" s="4"/>
      <c r="H161" s="4" t="s">
        <v>841</v>
      </c>
      <c r="I161" s="4" t="s">
        <v>24</v>
      </c>
      <c r="J161" s="4" t="s">
        <v>29</v>
      </c>
      <c r="K161" s="4" t="s">
        <v>842</v>
      </c>
      <c r="L161" s="4" t="s">
        <v>843</v>
      </c>
      <c r="M161" s="4" t="s">
        <v>844</v>
      </c>
      <c r="N161" s="4" t="s">
        <v>845</v>
      </c>
      <c r="O161" s="4" t="s">
        <v>29</v>
      </c>
      <c r="P161" s="5" t="s">
        <v>30</v>
      </c>
      <c r="Q161" s="5"/>
    </row>
    <row r="162" customFormat="false" ht="23.25" hidden="false" customHeight="true" outlineLevel="0" collapsed="false">
      <c r="A162" s="4" t="n">
        <v>161</v>
      </c>
      <c r="B162" s="4" t="s">
        <v>48</v>
      </c>
      <c r="C162" s="4" t="s">
        <v>71</v>
      </c>
      <c r="D162" s="4" t="s">
        <v>19</v>
      </c>
      <c r="E162" s="4" t="s">
        <v>846</v>
      </c>
      <c r="F162" s="4" t="s">
        <v>847</v>
      </c>
      <c r="G162" s="4"/>
      <c r="H162" s="4" t="s">
        <v>848</v>
      </c>
      <c r="I162" s="4" t="s">
        <v>24</v>
      </c>
      <c r="J162" s="4" t="s">
        <v>29</v>
      </c>
      <c r="K162" s="4" t="s">
        <v>849</v>
      </c>
      <c r="L162" s="4" t="s">
        <v>850</v>
      </c>
      <c r="M162" s="4" t="s">
        <v>851</v>
      </c>
      <c r="N162" s="4" t="s">
        <v>852</v>
      </c>
      <c r="O162" s="4" t="s">
        <v>29</v>
      </c>
      <c r="P162" s="5" t="s">
        <v>853</v>
      </c>
      <c r="Q162" s="5" t="s">
        <v>854</v>
      </c>
    </row>
    <row r="163" customFormat="false" ht="15" hidden="false" customHeight="true" outlineLevel="0" collapsed="false">
      <c r="A163" s="6" t="n">
        <v>162</v>
      </c>
      <c r="B163" s="6" t="s">
        <v>48</v>
      </c>
      <c r="C163" s="6" t="s">
        <v>816</v>
      </c>
      <c r="D163" s="6" t="s">
        <v>855</v>
      </c>
      <c r="E163" s="6" t="s">
        <v>856</v>
      </c>
      <c r="F163" s="6" t="s">
        <v>856</v>
      </c>
      <c r="G163" s="6" t="s">
        <v>857</v>
      </c>
      <c r="H163" s="6"/>
      <c r="I163" s="6" t="s">
        <v>740</v>
      </c>
      <c r="J163" s="6"/>
      <c r="K163" s="6"/>
      <c r="L163" s="6"/>
      <c r="M163" s="6"/>
      <c r="N163" s="6" t="s">
        <v>858</v>
      </c>
      <c r="O163" s="6"/>
      <c r="P163" s="5"/>
      <c r="Q163" s="5"/>
    </row>
    <row r="164" customFormat="false" ht="15" hidden="false" customHeight="true" outlineLevel="0" collapsed="false">
      <c r="A164" s="6" t="n">
        <v>163</v>
      </c>
      <c r="B164" s="6" t="s">
        <v>48</v>
      </c>
      <c r="C164" s="6" t="s">
        <v>64</v>
      </c>
      <c r="D164" s="6" t="s">
        <v>19</v>
      </c>
      <c r="E164" s="6" t="s">
        <v>859</v>
      </c>
      <c r="F164" s="6" t="s">
        <v>860</v>
      </c>
      <c r="G164" s="6"/>
      <c r="H164" s="6"/>
      <c r="I164" s="6" t="s">
        <v>861</v>
      </c>
      <c r="J164" s="6"/>
      <c r="K164" s="6"/>
      <c r="L164" s="6"/>
      <c r="M164" s="6"/>
      <c r="N164" s="6"/>
      <c r="O164" s="6"/>
      <c r="P164" s="5"/>
      <c r="Q164" s="5"/>
    </row>
    <row r="165" customFormat="false" ht="15" hidden="false" customHeight="true" outlineLevel="0" collapsed="false">
      <c r="A165" s="6" t="n">
        <v>164</v>
      </c>
      <c r="B165" s="6" t="s">
        <v>48</v>
      </c>
      <c r="C165" s="6" t="s">
        <v>64</v>
      </c>
      <c r="D165" s="6" t="s">
        <v>862</v>
      </c>
      <c r="E165" s="6" t="s">
        <v>863</v>
      </c>
      <c r="F165" s="6" t="s">
        <v>864</v>
      </c>
      <c r="G165" s="6"/>
      <c r="H165" s="6"/>
      <c r="I165" s="6" t="s">
        <v>740</v>
      </c>
      <c r="J165" s="6"/>
      <c r="K165" s="6"/>
      <c r="L165" s="6"/>
      <c r="M165" s="6"/>
      <c r="N165" s="6" t="s">
        <v>865</v>
      </c>
      <c r="O165" s="6"/>
      <c r="P165" s="5"/>
      <c r="Q165" s="5"/>
    </row>
    <row r="166" customFormat="false" ht="15" hidden="false" customHeight="true" outlineLevel="0" collapsed="false">
      <c r="A166" s="6" t="n">
        <v>165</v>
      </c>
      <c r="B166" s="6" t="s">
        <v>48</v>
      </c>
      <c r="C166" s="6" t="s">
        <v>71</v>
      </c>
      <c r="D166" s="6" t="s">
        <v>824</v>
      </c>
      <c r="E166" s="6" t="s">
        <v>866</v>
      </c>
      <c r="F166" s="6" t="s">
        <v>867</v>
      </c>
      <c r="G166" s="6"/>
      <c r="H166" s="6"/>
      <c r="I166" s="6" t="s">
        <v>419</v>
      </c>
      <c r="J166" s="6"/>
      <c r="K166" s="6"/>
      <c r="L166" s="6"/>
      <c r="M166" s="6"/>
      <c r="N166" s="6"/>
      <c r="O166" s="6"/>
      <c r="P166" s="5"/>
      <c r="Q166" s="5"/>
    </row>
    <row r="167" customFormat="false" ht="23.25" hidden="false" customHeight="true" outlineLevel="0" collapsed="false">
      <c r="A167" s="6" t="n">
        <v>166</v>
      </c>
      <c r="B167" s="6" t="s">
        <v>48</v>
      </c>
      <c r="C167" s="6" t="s">
        <v>71</v>
      </c>
      <c r="D167" s="6" t="s">
        <v>19</v>
      </c>
      <c r="E167" s="6" t="s">
        <v>868</v>
      </c>
      <c r="F167" s="6" t="s">
        <v>869</v>
      </c>
      <c r="G167" s="6" t="s">
        <v>870</v>
      </c>
      <c r="H167" s="6"/>
      <c r="I167" s="6" t="s">
        <v>541</v>
      </c>
      <c r="J167" s="6"/>
      <c r="K167" s="6"/>
      <c r="L167" s="6"/>
      <c r="M167" s="6"/>
      <c r="N167" s="6" t="s">
        <v>871</v>
      </c>
      <c r="O167" s="6"/>
      <c r="P167" s="5"/>
      <c r="Q167" s="5"/>
    </row>
    <row r="168" customFormat="false" ht="34.5" hidden="false" customHeight="true" outlineLevel="0" collapsed="false">
      <c r="A168" s="6" t="n">
        <v>167</v>
      </c>
      <c r="B168" s="6" t="s">
        <v>48</v>
      </c>
      <c r="C168" s="6" t="s">
        <v>71</v>
      </c>
      <c r="D168" s="6" t="s">
        <v>872</v>
      </c>
      <c r="E168" s="6" t="s">
        <v>873</v>
      </c>
      <c r="F168" s="6" t="s">
        <v>874</v>
      </c>
      <c r="G168" s="6"/>
      <c r="H168" s="6"/>
      <c r="I168" s="6" t="s">
        <v>875</v>
      </c>
      <c r="J168" s="6"/>
      <c r="K168" s="6"/>
      <c r="L168" s="6"/>
      <c r="M168" s="6"/>
      <c r="N168" s="6" t="s">
        <v>876</v>
      </c>
      <c r="O168" s="6"/>
      <c r="P168" s="5"/>
      <c r="Q168" s="5"/>
    </row>
    <row r="169" customFormat="false" ht="15" hidden="false" customHeight="true" outlineLevel="0" collapsed="false">
      <c r="A169" s="6" t="n">
        <v>168</v>
      </c>
      <c r="B169" s="6" t="s">
        <v>48</v>
      </c>
      <c r="C169" s="6" t="s">
        <v>416</v>
      </c>
      <c r="D169" s="6" t="s">
        <v>877</v>
      </c>
      <c r="E169" s="6" t="s">
        <v>878</v>
      </c>
      <c r="F169" s="6" t="s">
        <v>879</v>
      </c>
      <c r="G169" s="6" t="s">
        <v>880</v>
      </c>
      <c r="H169" s="6"/>
      <c r="I169" s="6" t="s">
        <v>881</v>
      </c>
      <c r="J169" s="6"/>
      <c r="K169" s="6"/>
      <c r="L169" s="6"/>
      <c r="M169" s="6"/>
      <c r="N169" s="6" t="s">
        <v>882</v>
      </c>
      <c r="O169" s="6"/>
      <c r="P169" s="5"/>
      <c r="Q169" s="5"/>
    </row>
    <row r="170" customFormat="false" ht="15" hidden="false" customHeight="true" outlineLevel="0" collapsed="false">
      <c r="A170" s="6" t="n">
        <v>169</v>
      </c>
      <c r="B170" s="6" t="s">
        <v>48</v>
      </c>
      <c r="C170" s="6" t="s">
        <v>416</v>
      </c>
      <c r="D170" s="6" t="s">
        <v>19</v>
      </c>
      <c r="E170" s="6" t="s">
        <v>883</v>
      </c>
      <c r="F170" s="6" t="s">
        <v>884</v>
      </c>
      <c r="G170" s="6"/>
      <c r="H170" s="6"/>
      <c r="I170" s="6" t="s">
        <v>881</v>
      </c>
      <c r="J170" s="6"/>
      <c r="K170" s="6"/>
      <c r="L170" s="6"/>
      <c r="M170" s="6"/>
      <c r="N170" s="6"/>
      <c r="O170" s="6"/>
      <c r="P170" s="5"/>
      <c r="Q170" s="5"/>
    </row>
    <row r="171" customFormat="false" ht="15" hidden="false" customHeight="true" outlineLevel="0" collapsed="false">
      <c r="A171" s="6" t="n">
        <v>170</v>
      </c>
      <c r="B171" s="6" t="s">
        <v>48</v>
      </c>
      <c r="C171" s="6" t="s">
        <v>327</v>
      </c>
      <c r="D171" s="6" t="s">
        <v>885</v>
      </c>
      <c r="E171" s="6" t="s">
        <v>886</v>
      </c>
      <c r="F171" s="6" t="s">
        <v>887</v>
      </c>
      <c r="G171" s="6"/>
      <c r="H171" s="6"/>
      <c r="I171" s="6" t="s">
        <v>881</v>
      </c>
      <c r="J171" s="6"/>
      <c r="K171" s="6"/>
      <c r="L171" s="6"/>
      <c r="M171" s="6"/>
      <c r="N171" s="6"/>
      <c r="O171" s="6"/>
      <c r="P171" s="5"/>
      <c r="Q171" s="5"/>
    </row>
    <row r="172" customFormat="false" ht="23.25" hidden="false" customHeight="true" outlineLevel="0" collapsed="false">
      <c r="A172" s="6" t="n">
        <v>171</v>
      </c>
      <c r="B172" s="6" t="s">
        <v>48</v>
      </c>
      <c r="C172" s="6" t="s">
        <v>334</v>
      </c>
      <c r="D172" s="6" t="s">
        <v>57</v>
      </c>
      <c r="E172" s="6" t="s">
        <v>888</v>
      </c>
      <c r="F172" s="6" t="s">
        <v>889</v>
      </c>
      <c r="G172" s="6"/>
      <c r="H172" s="6"/>
      <c r="I172" s="6" t="s">
        <v>380</v>
      </c>
      <c r="J172" s="6"/>
      <c r="K172" s="6"/>
      <c r="L172" s="6"/>
      <c r="M172" s="6"/>
      <c r="N172" s="6"/>
      <c r="O172" s="6"/>
      <c r="P172" s="5"/>
      <c r="Q172" s="5"/>
    </row>
    <row r="173" customFormat="false" ht="23.25" hidden="false" customHeight="true" outlineLevel="0" collapsed="false">
      <c r="A173" s="4" t="n">
        <v>172</v>
      </c>
      <c r="B173" s="4" t="s">
        <v>48</v>
      </c>
      <c r="C173" s="4" t="s">
        <v>64</v>
      </c>
      <c r="D173" s="4" t="s">
        <v>890</v>
      </c>
      <c r="E173" s="4" t="s">
        <v>891</v>
      </c>
      <c r="F173" s="4" t="s">
        <v>892</v>
      </c>
      <c r="G173" s="4"/>
      <c r="H173" s="4" t="s">
        <v>893</v>
      </c>
      <c r="I173" s="4" t="s">
        <v>24</v>
      </c>
      <c r="J173" s="4" t="s">
        <v>29</v>
      </c>
      <c r="K173" s="4" t="s">
        <v>894</v>
      </c>
      <c r="L173" s="4" t="s">
        <v>895</v>
      </c>
      <c r="M173" s="4" t="s">
        <v>896</v>
      </c>
      <c r="N173" s="4"/>
      <c r="O173" s="4" t="s">
        <v>29</v>
      </c>
      <c r="P173" s="5" t="s">
        <v>30</v>
      </c>
      <c r="Q173" s="5"/>
    </row>
    <row r="174" customFormat="false" ht="23.25" hidden="false" customHeight="true" outlineLevel="0" collapsed="false">
      <c r="A174" s="4" t="n">
        <v>173</v>
      </c>
      <c r="B174" s="4" t="s">
        <v>48</v>
      </c>
      <c r="C174" s="4" t="s">
        <v>64</v>
      </c>
      <c r="D174" s="4" t="s">
        <v>897</v>
      </c>
      <c r="E174" s="4" t="s">
        <v>898</v>
      </c>
      <c r="F174" s="4" t="s">
        <v>898</v>
      </c>
      <c r="G174" s="4"/>
      <c r="H174" s="4" t="s">
        <v>899</v>
      </c>
      <c r="I174" s="4" t="s">
        <v>24</v>
      </c>
      <c r="J174" s="4" t="s">
        <v>29</v>
      </c>
      <c r="K174" s="4" t="s">
        <v>900</v>
      </c>
      <c r="L174" s="4" t="s">
        <v>901</v>
      </c>
      <c r="M174" s="4" t="s">
        <v>902</v>
      </c>
      <c r="N174" s="4" t="s">
        <v>903</v>
      </c>
      <c r="O174" s="4" t="s">
        <v>29</v>
      </c>
      <c r="P174" s="5" t="s">
        <v>30</v>
      </c>
      <c r="Q174" s="5"/>
    </row>
    <row r="175" customFormat="false" ht="23.25" hidden="false" customHeight="true" outlineLevel="0" collapsed="false">
      <c r="A175" s="4" t="n">
        <v>174</v>
      </c>
      <c r="B175" s="4" t="s">
        <v>48</v>
      </c>
      <c r="C175" s="4" t="s">
        <v>64</v>
      </c>
      <c r="D175" s="4" t="s">
        <v>862</v>
      </c>
      <c r="E175" s="4" t="s">
        <v>863</v>
      </c>
      <c r="F175" s="4" t="s">
        <v>864</v>
      </c>
      <c r="G175" s="4"/>
      <c r="H175" s="4" t="s">
        <v>904</v>
      </c>
      <c r="I175" s="4" t="s">
        <v>24</v>
      </c>
      <c r="J175" s="4" t="s">
        <v>29</v>
      </c>
      <c r="K175" s="4" t="s">
        <v>905</v>
      </c>
      <c r="L175" s="4" t="s">
        <v>906</v>
      </c>
      <c r="M175" s="4" t="s">
        <v>907</v>
      </c>
      <c r="N175" s="4"/>
      <c r="O175" s="4" t="s">
        <v>29</v>
      </c>
      <c r="P175" s="5" t="s">
        <v>853</v>
      </c>
      <c r="Q175" s="5" t="s">
        <v>854</v>
      </c>
    </row>
    <row r="176" customFormat="false" ht="23.25" hidden="false" customHeight="true" outlineLevel="0" collapsed="false">
      <c r="A176" s="4" t="n">
        <v>175</v>
      </c>
      <c r="B176" s="4" t="s">
        <v>48</v>
      </c>
      <c r="C176" s="4" t="s">
        <v>64</v>
      </c>
      <c r="D176" s="4" t="s">
        <v>908</v>
      </c>
      <c r="E176" s="4" t="s">
        <v>909</v>
      </c>
      <c r="F176" s="4" t="s">
        <v>910</v>
      </c>
      <c r="G176" s="4"/>
      <c r="H176" s="4" t="s">
        <v>911</v>
      </c>
      <c r="I176" s="4" t="s">
        <v>24</v>
      </c>
      <c r="J176" s="4" t="s">
        <v>29</v>
      </c>
      <c r="K176" s="4" t="s">
        <v>912</v>
      </c>
      <c r="L176" s="4" t="s">
        <v>913</v>
      </c>
      <c r="M176" s="4" t="s">
        <v>914</v>
      </c>
      <c r="N176" s="4" t="s">
        <v>903</v>
      </c>
      <c r="O176" s="4" t="s">
        <v>29</v>
      </c>
      <c r="P176" s="5" t="s">
        <v>30</v>
      </c>
      <c r="Q176" s="5"/>
    </row>
    <row r="177" customFormat="false" ht="23.25" hidden="false" customHeight="true" outlineLevel="0" collapsed="false">
      <c r="A177" s="4" t="n">
        <v>176</v>
      </c>
      <c r="B177" s="4" t="s">
        <v>48</v>
      </c>
      <c r="C177" s="4" t="s">
        <v>64</v>
      </c>
      <c r="D177" s="4" t="s">
        <v>915</v>
      </c>
      <c r="E177" s="4" t="s">
        <v>916</v>
      </c>
      <c r="F177" s="4" t="s">
        <v>917</v>
      </c>
      <c r="G177" s="4"/>
      <c r="H177" s="4" t="s">
        <v>918</v>
      </c>
      <c r="I177" s="4" t="s">
        <v>24</v>
      </c>
      <c r="J177" s="4" t="s">
        <v>29</v>
      </c>
      <c r="K177" s="4" t="s">
        <v>919</v>
      </c>
      <c r="L177" s="4" t="s">
        <v>920</v>
      </c>
      <c r="M177" s="4" t="s">
        <v>902</v>
      </c>
      <c r="N177" s="4" t="s">
        <v>921</v>
      </c>
      <c r="O177" s="4" t="s">
        <v>29</v>
      </c>
      <c r="P177" s="5" t="s">
        <v>922</v>
      </c>
      <c r="Q177" s="5" t="s">
        <v>923</v>
      </c>
    </row>
    <row r="178" customFormat="false" ht="23.25" hidden="false" customHeight="true" outlineLevel="0" collapsed="false">
      <c r="A178" s="4" t="n">
        <v>177</v>
      </c>
      <c r="B178" s="4" t="s">
        <v>48</v>
      </c>
      <c r="C178" s="4" t="s">
        <v>64</v>
      </c>
      <c r="D178" s="4" t="s">
        <v>924</v>
      </c>
      <c r="E178" s="4" t="s">
        <v>925</v>
      </c>
      <c r="F178" s="4" t="s">
        <v>926</v>
      </c>
      <c r="G178" s="4"/>
      <c r="H178" s="4" t="s">
        <v>927</v>
      </c>
      <c r="I178" s="4" t="s">
        <v>24</v>
      </c>
      <c r="J178" s="4" t="s">
        <v>29</v>
      </c>
      <c r="K178" s="4" t="s">
        <v>928</v>
      </c>
      <c r="L178" s="4" t="s">
        <v>929</v>
      </c>
      <c r="M178" s="4" t="s">
        <v>902</v>
      </c>
      <c r="N178" s="4" t="s">
        <v>903</v>
      </c>
      <c r="O178" s="4" t="s">
        <v>29</v>
      </c>
      <c r="P178" s="5" t="s">
        <v>853</v>
      </c>
      <c r="Q178" s="5" t="s">
        <v>854</v>
      </c>
    </row>
    <row r="179" customFormat="false" ht="23.25" hidden="false" customHeight="true" outlineLevel="0" collapsed="false">
      <c r="A179" s="4" t="n">
        <v>178</v>
      </c>
      <c r="B179" s="4" t="s">
        <v>48</v>
      </c>
      <c r="C179" s="4" t="s">
        <v>816</v>
      </c>
      <c r="D179" s="4" t="s">
        <v>855</v>
      </c>
      <c r="E179" s="4" t="s">
        <v>856</v>
      </c>
      <c r="F179" s="4" t="s">
        <v>856</v>
      </c>
      <c r="G179" s="4" t="s">
        <v>857</v>
      </c>
      <c r="H179" s="4" t="s">
        <v>930</v>
      </c>
      <c r="I179" s="4" t="s">
        <v>24</v>
      </c>
      <c r="J179" s="4" t="s">
        <v>29</v>
      </c>
      <c r="K179" s="4" t="s">
        <v>931</v>
      </c>
      <c r="L179" s="4" t="s">
        <v>932</v>
      </c>
      <c r="M179" s="4" t="s">
        <v>902</v>
      </c>
      <c r="N179" s="4"/>
      <c r="O179" s="4" t="s">
        <v>29</v>
      </c>
      <c r="P179" s="5" t="s">
        <v>30</v>
      </c>
      <c r="Q179" s="5"/>
    </row>
    <row r="180" customFormat="false" ht="23.25" hidden="false" customHeight="true" outlineLevel="0" collapsed="false">
      <c r="A180" s="4" t="n">
        <v>179</v>
      </c>
      <c r="B180" s="4" t="s">
        <v>48</v>
      </c>
      <c r="C180" s="4" t="s">
        <v>933</v>
      </c>
      <c r="D180" s="4" t="s">
        <v>235</v>
      </c>
      <c r="E180" s="4" t="s">
        <v>934</v>
      </c>
      <c r="F180" s="4" t="s">
        <v>935</v>
      </c>
      <c r="G180" s="4"/>
      <c r="H180" s="4" t="s">
        <v>936</v>
      </c>
      <c r="I180" s="4" t="s">
        <v>24</v>
      </c>
      <c r="J180" s="4" t="s">
        <v>29</v>
      </c>
      <c r="K180" s="4" t="s">
        <v>937</v>
      </c>
      <c r="L180" s="4" t="s">
        <v>938</v>
      </c>
      <c r="M180" s="4" t="s">
        <v>939</v>
      </c>
      <c r="N180" s="4"/>
      <c r="O180" s="4" t="s">
        <v>29</v>
      </c>
      <c r="P180" s="5" t="s">
        <v>30</v>
      </c>
      <c r="Q180" s="5"/>
    </row>
    <row r="181" customFormat="false" ht="23.25" hidden="false" customHeight="true" outlineLevel="0" collapsed="false">
      <c r="A181" s="4" t="n">
        <v>180</v>
      </c>
      <c r="B181" s="4" t="s">
        <v>48</v>
      </c>
      <c r="C181" s="4" t="s">
        <v>933</v>
      </c>
      <c r="D181" s="4" t="s">
        <v>855</v>
      </c>
      <c r="E181" s="4" t="s">
        <v>940</v>
      </c>
      <c r="F181" s="4" t="s">
        <v>940</v>
      </c>
      <c r="G181" s="4"/>
      <c r="H181" s="4" t="s">
        <v>941</v>
      </c>
      <c r="I181" s="4" t="s">
        <v>24</v>
      </c>
      <c r="J181" s="4" t="s">
        <v>29</v>
      </c>
      <c r="K181" s="4" t="s">
        <v>942</v>
      </c>
      <c r="L181" s="4" t="s">
        <v>943</v>
      </c>
      <c r="M181" s="4" t="s">
        <v>944</v>
      </c>
      <c r="N181" s="4"/>
      <c r="O181" s="4" t="s">
        <v>29</v>
      </c>
      <c r="P181" s="5" t="s">
        <v>922</v>
      </c>
      <c r="Q181" s="5" t="s">
        <v>945</v>
      </c>
    </row>
    <row r="182" customFormat="false" ht="23.25" hidden="false" customHeight="true" outlineLevel="0" collapsed="false">
      <c r="A182" s="6" t="n">
        <v>181</v>
      </c>
      <c r="B182" s="6" t="s">
        <v>48</v>
      </c>
      <c r="C182" s="6" t="s">
        <v>946</v>
      </c>
      <c r="D182" s="6" t="s">
        <v>19</v>
      </c>
      <c r="E182" s="6" t="s">
        <v>947</v>
      </c>
      <c r="F182" s="6" t="s">
        <v>948</v>
      </c>
      <c r="G182" s="6"/>
      <c r="H182" s="6"/>
      <c r="I182" s="6" t="s">
        <v>949</v>
      </c>
      <c r="J182" s="6"/>
      <c r="K182" s="6"/>
      <c r="L182" s="6"/>
      <c r="M182" s="6"/>
      <c r="N182" s="6" t="s">
        <v>950</v>
      </c>
      <c r="O182" s="6"/>
      <c r="P182" s="5"/>
      <c r="Q182" s="5"/>
    </row>
    <row r="183" customFormat="false" ht="23.25" hidden="false" customHeight="true" outlineLevel="0" collapsed="false">
      <c r="A183" s="6" t="n">
        <v>182</v>
      </c>
      <c r="B183" s="6" t="s">
        <v>48</v>
      </c>
      <c r="C183" s="6" t="s">
        <v>933</v>
      </c>
      <c r="D183" s="6" t="s">
        <v>824</v>
      </c>
      <c r="E183" s="6" t="s">
        <v>951</v>
      </c>
      <c r="F183" s="6" t="s">
        <v>952</v>
      </c>
      <c r="G183" s="6"/>
      <c r="H183" s="6"/>
      <c r="I183" s="6" t="s">
        <v>380</v>
      </c>
      <c r="J183" s="6"/>
      <c r="K183" s="6"/>
      <c r="L183" s="6"/>
      <c r="M183" s="6"/>
      <c r="N183" s="6"/>
      <c r="O183" s="6"/>
      <c r="P183" s="5"/>
      <c r="Q183" s="5"/>
    </row>
    <row r="184" customFormat="false" ht="45.75" hidden="false" customHeight="true" outlineLevel="0" collapsed="false">
      <c r="A184" s="6" t="n">
        <v>183</v>
      </c>
      <c r="B184" s="6" t="s">
        <v>48</v>
      </c>
      <c r="C184" s="6" t="s">
        <v>64</v>
      </c>
      <c r="D184" s="6" t="s">
        <v>885</v>
      </c>
      <c r="E184" s="6" t="s">
        <v>953</v>
      </c>
      <c r="F184" s="6" t="s">
        <v>954</v>
      </c>
      <c r="G184" s="6"/>
      <c r="H184" s="6"/>
      <c r="I184" s="6" t="s">
        <v>647</v>
      </c>
      <c r="J184" s="6"/>
      <c r="K184" s="6"/>
      <c r="L184" s="6"/>
      <c r="M184" s="6"/>
      <c r="N184" s="6" t="s">
        <v>955</v>
      </c>
      <c r="O184" s="6"/>
      <c r="P184" s="5"/>
      <c r="Q184" s="5"/>
    </row>
    <row r="185" customFormat="false" ht="15" hidden="false" customHeight="true" outlineLevel="0" collapsed="false">
      <c r="A185" s="6" t="n">
        <v>184</v>
      </c>
      <c r="B185" s="6" t="s">
        <v>48</v>
      </c>
      <c r="C185" s="6" t="s">
        <v>64</v>
      </c>
      <c r="D185" s="6" t="s">
        <v>19</v>
      </c>
      <c r="E185" s="6" t="s">
        <v>346</v>
      </c>
      <c r="F185" s="6" t="s">
        <v>5</v>
      </c>
      <c r="G185" s="6"/>
      <c r="H185" s="6"/>
      <c r="I185" s="6" t="s">
        <v>344</v>
      </c>
      <c r="J185" s="6"/>
      <c r="K185" s="6"/>
      <c r="L185" s="6"/>
      <c r="M185" s="6"/>
      <c r="N185" s="6" t="s">
        <v>956</v>
      </c>
      <c r="O185" s="6"/>
      <c r="P185" s="5"/>
      <c r="Q185" s="5"/>
    </row>
    <row r="186" customFormat="false" ht="15" hidden="false" customHeight="true" outlineLevel="0" collapsed="false">
      <c r="A186" s="4" t="n">
        <v>185</v>
      </c>
      <c r="B186" s="4" t="s">
        <v>17</v>
      </c>
      <c r="C186" s="4" t="s">
        <v>18</v>
      </c>
      <c r="D186" s="4" t="s">
        <v>153</v>
      </c>
      <c r="E186" s="4" t="s">
        <v>957</v>
      </c>
      <c r="F186" s="4" t="s">
        <v>958</v>
      </c>
      <c r="G186" s="4"/>
      <c r="H186" s="4" t="s">
        <v>959</v>
      </c>
      <c r="I186" s="4" t="s">
        <v>24</v>
      </c>
      <c r="J186" s="4" t="s">
        <v>29</v>
      </c>
      <c r="K186" s="4" t="s">
        <v>960</v>
      </c>
      <c r="L186" s="4" t="s">
        <v>961</v>
      </c>
      <c r="M186" s="4" t="s">
        <v>962</v>
      </c>
      <c r="N186" s="4"/>
      <c r="O186" s="4" t="s">
        <v>29</v>
      </c>
      <c r="P186" s="5" t="s">
        <v>30</v>
      </c>
      <c r="Q186" s="5"/>
    </row>
    <row r="187" customFormat="false" ht="23.25" hidden="false" customHeight="true" outlineLevel="0" collapsed="false">
      <c r="A187" s="4" t="n">
        <v>186</v>
      </c>
      <c r="B187" s="4" t="s">
        <v>17</v>
      </c>
      <c r="C187" s="4" t="s">
        <v>18</v>
      </c>
      <c r="D187" s="4" t="s">
        <v>963</v>
      </c>
      <c r="E187" s="4" t="s">
        <v>964</v>
      </c>
      <c r="F187" s="4" t="s">
        <v>965</v>
      </c>
      <c r="G187" s="4" t="s">
        <v>966</v>
      </c>
      <c r="H187" s="4" t="s">
        <v>967</v>
      </c>
      <c r="I187" s="4" t="s">
        <v>24</v>
      </c>
      <c r="J187" s="4" t="s">
        <v>29</v>
      </c>
      <c r="K187" s="4" t="s">
        <v>968</v>
      </c>
      <c r="L187" s="4" t="s">
        <v>961</v>
      </c>
      <c r="M187" s="4" t="s">
        <v>969</v>
      </c>
      <c r="N187" s="4" t="s">
        <v>970</v>
      </c>
      <c r="O187" s="4" t="s">
        <v>29</v>
      </c>
      <c r="P187" s="5" t="s">
        <v>30</v>
      </c>
      <c r="Q187" s="5"/>
    </row>
    <row r="188" customFormat="false" ht="34.5" hidden="false" customHeight="true" outlineLevel="0" collapsed="false">
      <c r="A188" s="4" t="n">
        <v>187</v>
      </c>
      <c r="B188" s="4" t="s">
        <v>17</v>
      </c>
      <c r="C188" s="4" t="s">
        <v>18</v>
      </c>
      <c r="D188" s="4" t="s">
        <v>427</v>
      </c>
      <c r="E188" s="4" t="s">
        <v>520</v>
      </c>
      <c r="F188" s="4" t="s">
        <v>971</v>
      </c>
      <c r="G188" s="4" t="s">
        <v>972</v>
      </c>
      <c r="H188" s="4" t="s">
        <v>973</v>
      </c>
      <c r="I188" s="4" t="s">
        <v>24</v>
      </c>
      <c r="J188" s="4" t="s">
        <v>29</v>
      </c>
      <c r="K188" s="4" t="s">
        <v>974</v>
      </c>
      <c r="L188" s="4" t="s">
        <v>961</v>
      </c>
      <c r="M188" s="4" t="s">
        <v>962</v>
      </c>
      <c r="N188" s="4" t="s">
        <v>975</v>
      </c>
      <c r="O188" s="4" t="s">
        <v>29</v>
      </c>
      <c r="P188" s="5" t="s">
        <v>30</v>
      </c>
      <c r="Q188" s="5"/>
    </row>
    <row r="189" customFormat="false" ht="23.25" hidden="false" customHeight="true" outlineLevel="0" collapsed="false">
      <c r="A189" s="4" t="n">
        <v>188</v>
      </c>
      <c r="B189" s="4" t="s">
        <v>17</v>
      </c>
      <c r="C189" s="4" t="s">
        <v>18</v>
      </c>
      <c r="D189" s="4" t="s">
        <v>535</v>
      </c>
      <c r="E189" s="4" t="s">
        <v>536</v>
      </c>
      <c r="F189" s="4" t="s">
        <v>537</v>
      </c>
      <c r="G189" s="4" t="s">
        <v>976</v>
      </c>
      <c r="H189" s="4" t="s">
        <v>977</v>
      </c>
      <c r="I189" s="4" t="s">
        <v>24</v>
      </c>
      <c r="J189" s="4" t="s">
        <v>29</v>
      </c>
      <c r="K189" s="4" t="s">
        <v>978</v>
      </c>
      <c r="L189" s="4" t="s">
        <v>961</v>
      </c>
      <c r="M189" s="4" t="s">
        <v>962</v>
      </c>
      <c r="N189" s="4" t="s">
        <v>979</v>
      </c>
      <c r="O189" s="4" t="s">
        <v>29</v>
      </c>
      <c r="P189" s="5" t="s">
        <v>853</v>
      </c>
      <c r="Q189" s="5" t="s">
        <v>854</v>
      </c>
    </row>
    <row r="190" customFormat="false" ht="15" hidden="false" customHeight="true" outlineLevel="0" collapsed="false">
      <c r="A190" s="4" t="n">
        <v>189</v>
      </c>
      <c r="B190" s="4" t="s">
        <v>17</v>
      </c>
      <c r="C190" s="4" t="s">
        <v>18</v>
      </c>
      <c r="D190" s="4" t="s">
        <v>980</v>
      </c>
      <c r="E190" s="4" t="s">
        <v>366</v>
      </c>
      <c r="F190" s="4" t="s">
        <v>981</v>
      </c>
      <c r="G190" s="4"/>
      <c r="H190" s="4" t="s">
        <v>982</v>
      </c>
      <c r="I190" s="4" t="s">
        <v>24</v>
      </c>
      <c r="J190" s="4" t="s">
        <v>29</v>
      </c>
      <c r="K190" s="4" t="s">
        <v>983</v>
      </c>
      <c r="L190" s="4" t="s">
        <v>961</v>
      </c>
      <c r="M190" s="4" t="s">
        <v>962</v>
      </c>
      <c r="N190" s="4" t="s">
        <v>984</v>
      </c>
      <c r="O190" s="4" t="s">
        <v>29</v>
      </c>
      <c r="P190" s="5" t="s">
        <v>30</v>
      </c>
      <c r="Q190" s="5"/>
    </row>
    <row r="191" customFormat="false" ht="23.25" hidden="false" customHeight="true" outlineLevel="0" collapsed="false">
      <c r="A191" s="4" t="n">
        <v>190</v>
      </c>
      <c r="B191" s="4" t="s">
        <v>17</v>
      </c>
      <c r="C191" s="4" t="s">
        <v>18</v>
      </c>
      <c r="D191" s="4" t="s">
        <v>980</v>
      </c>
      <c r="E191" s="4" t="s">
        <v>366</v>
      </c>
      <c r="F191" s="4" t="s">
        <v>985</v>
      </c>
      <c r="G191" s="4" t="s">
        <v>986</v>
      </c>
      <c r="H191" s="4" t="s">
        <v>987</v>
      </c>
      <c r="I191" s="4" t="s">
        <v>24</v>
      </c>
      <c r="J191" s="4" t="s">
        <v>29</v>
      </c>
      <c r="K191" s="4" t="s">
        <v>988</v>
      </c>
      <c r="L191" s="4" t="s">
        <v>961</v>
      </c>
      <c r="M191" s="4" t="s">
        <v>989</v>
      </c>
      <c r="N191" s="4"/>
      <c r="O191" s="4" t="s">
        <v>29</v>
      </c>
      <c r="P191" s="5" t="s">
        <v>30</v>
      </c>
      <c r="Q191" s="5"/>
    </row>
    <row r="192" customFormat="false" ht="23.25" hidden="false" customHeight="true" outlineLevel="0" collapsed="false">
      <c r="A192" s="4" t="n">
        <v>191</v>
      </c>
      <c r="B192" s="4" t="s">
        <v>17</v>
      </c>
      <c r="C192" s="4" t="s">
        <v>18</v>
      </c>
      <c r="D192" s="4" t="s">
        <v>101</v>
      </c>
      <c r="E192" s="4" t="s">
        <v>990</v>
      </c>
      <c r="F192" s="4" t="s">
        <v>991</v>
      </c>
      <c r="G192" s="4"/>
      <c r="H192" s="4" t="s">
        <v>992</v>
      </c>
      <c r="I192" s="4" t="s">
        <v>24</v>
      </c>
      <c r="J192" s="4" t="s">
        <v>29</v>
      </c>
      <c r="K192" s="4" t="s">
        <v>993</v>
      </c>
      <c r="L192" s="4" t="s">
        <v>961</v>
      </c>
      <c r="M192" s="4" t="s">
        <v>994</v>
      </c>
      <c r="N192" s="4"/>
      <c r="O192" s="4" t="s">
        <v>29</v>
      </c>
      <c r="P192" s="5" t="s">
        <v>30</v>
      </c>
      <c r="Q192" s="5"/>
    </row>
    <row r="193" customFormat="false" ht="23.25" hidden="false" customHeight="true" outlineLevel="0" collapsed="false">
      <c r="A193" s="4" t="n">
        <v>192</v>
      </c>
      <c r="B193" s="4" t="s">
        <v>17</v>
      </c>
      <c r="C193" s="4" t="s">
        <v>18</v>
      </c>
      <c r="D193" s="4" t="s">
        <v>19</v>
      </c>
      <c r="E193" s="4" t="s">
        <v>523</v>
      </c>
      <c r="F193" s="4" t="s">
        <v>524</v>
      </c>
      <c r="G193" s="4"/>
      <c r="H193" s="4" t="s">
        <v>995</v>
      </c>
      <c r="I193" s="4" t="s">
        <v>24</v>
      </c>
      <c r="J193" s="4" t="s">
        <v>29</v>
      </c>
      <c r="K193" s="4" t="s">
        <v>996</v>
      </c>
      <c r="L193" s="4" t="s">
        <v>961</v>
      </c>
      <c r="M193" s="4" t="s">
        <v>997</v>
      </c>
      <c r="N193" s="4" t="s">
        <v>998</v>
      </c>
      <c r="O193" s="4" t="s">
        <v>29</v>
      </c>
      <c r="P193" s="5" t="s">
        <v>30</v>
      </c>
      <c r="Q193" s="5"/>
    </row>
    <row r="194" customFormat="false" ht="34.5" hidden="false" customHeight="true" outlineLevel="0" collapsed="false">
      <c r="A194" s="4" t="n">
        <v>193</v>
      </c>
      <c r="B194" s="4" t="s">
        <v>17</v>
      </c>
      <c r="C194" s="4" t="s">
        <v>18</v>
      </c>
      <c r="D194" s="4" t="s">
        <v>427</v>
      </c>
      <c r="E194" s="4" t="s">
        <v>528</v>
      </c>
      <c r="F194" s="4" t="s">
        <v>999</v>
      </c>
      <c r="G194" s="4"/>
      <c r="H194" s="4" t="s">
        <v>1000</v>
      </c>
      <c r="I194" s="4" t="s">
        <v>24</v>
      </c>
      <c r="J194" s="4" t="s">
        <v>29</v>
      </c>
      <c r="K194" s="4" t="s">
        <v>1001</v>
      </c>
      <c r="L194" s="4" t="s">
        <v>961</v>
      </c>
      <c r="M194" s="4" t="s">
        <v>1002</v>
      </c>
      <c r="N194" s="4" t="s">
        <v>1003</v>
      </c>
      <c r="O194" s="4" t="s">
        <v>29</v>
      </c>
      <c r="P194" s="5" t="s">
        <v>30</v>
      </c>
      <c r="Q194" s="5"/>
    </row>
    <row r="195" customFormat="false" ht="34.5" hidden="false" customHeight="true" outlineLevel="0" collapsed="false">
      <c r="A195" s="4" t="n">
        <v>194</v>
      </c>
      <c r="B195" s="4" t="s">
        <v>17</v>
      </c>
      <c r="C195" s="4" t="s">
        <v>18</v>
      </c>
      <c r="D195" s="4" t="s">
        <v>427</v>
      </c>
      <c r="E195" s="4" t="s">
        <v>1004</v>
      </c>
      <c r="F195" s="4" t="s">
        <v>1005</v>
      </c>
      <c r="G195" s="4"/>
      <c r="H195" s="4" t="s">
        <v>1006</v>
      </c>
      <c r="I195" s="4" t="s">
        <v>24</v>
      </c>
      <c r="J195" s="4" t="s">
        <v>29</v>
      </c>
      <c r="K195" s="4" t="s">
        <v>1007</v>
      </c>
      <c r="L195" s="4" t="s">
        <v>961</v>
      </c>
      <c r="M195" s="4" t="s">
        <v>1008</v>
      </c>
      <c r="N195" s="4" t="s">
        <v>1009</v>
      </c>
      <c r="O195" s="4" t="s">
        <v>29</v>
      </c>
      <c r="P195" s="5" t="s">
        <v>30</v>
      </c>
      <c r="Q195" s="5"/>
    </row>
    <row r="196" customFormat="false" ht="34.5" hidden="false" customHeight="true" outlineLevel="0" collapsed="false">
      <c r="A196" s="4" t="n">
        <v>195</v>
      </c>
      <c r="B196" s="4" t="s">
        <v>17</v>
      </c>
      <c r="C196" s="4" t="s">
        <v>18</v>
      </c>
      <c r="D196" s="4" t="s">
        <v>427</v>
      </c>
      <c r="E196" s="4" t="s">
        <v>1010</v>
      </c>
      <c r="F196" s="4" t="s">
        <v>1011</v>
      </c>
      <c r="G196" s="4" t="s">
        <v>1012</v>
      </c>
      <c r="H196" s="4" t="s">
        <v>1013</v>
      </c>
      <c r="I196" s="4" t="s">
        <v>24</v>
      </c>
      <c r="J196" s="4" t="s">
        <v>29</v>
      </c>
      <c r="K196" s="4" t="s">
        <v>1014</v>
      </c>
      <c r="L196" s="4" t="s">
        <v>961</v>
      </c>
      <c r="M196" s="4" t="s">
        <v>1015</v>
      </c>
      <c r="N196" s="4"/>
      <c r="O196" s="4" t="s">
        <v>29</v>
      </c>
      <c r="P196" s="5" t="s">
        <v>853</v>
      </c>
      <c r="Q196" s="5" t="s">
        <v>854</v>
      </c>
    </row>
    <row r="197" customFormat="false" ht="34.5" hidden="false" customHeight="true" outlineLevel="0" collapsed="false">
      <c r="A197" s="4" t="n">
        <v>196</v>
      </c>
      <c r="B197" s="4" t="s">
        <v>17</v>
      </c>
      <c r="C197" s="4" t="s">
        <v>18</v>
      </c>
      <c r="D197" s="4" t="s">
        <v>427</v>
      </c>
      <c r="E197" s="4" t="s">
        <v>1016</v>
      </c>
      <c r="F197" s="4" t="s">
        <v>1017</v>
      </c>
      <c r="G197" s="4"/>
      <c r="H197" s="4" t="s">
        <v>1018</v>
      </c>
      <c r="I197" s="4" t="s">
        <v>24</v>
      </c>
      <c r="J197" s="4" t="s">
        <v>29</v>
      </c>
      <c r="K197" s="4" t="s">
        <v>1019</v>
      </c>
      <c r="L197" s="4" t="s">
        <v>961</v>
      </c>
      <c r="M197" s="4" t="s">
        <v>962</v>
      </c>
      <c r="N197" s="4" t="s">
        <v>1020</v>
      </c>
      <c r="O197" s="4" t="s">
        <v>29</v>
      </c>
      <c r="P197" s="5" t="s">
        <v>853</v>
      </c>
      <c r="Q197" s="5" t="s">
        <v>854</v>
      </c>
    </row>
    <row r="198" customFormat="false" ht="15" hidden="false" customHeight="true" outlineLevel="0" collapsed="false">
      <c r="A198" s="6" t="n">
        <v>197</v>
      </c>
      <c r="B198" s="6" t="s">
        <v>17</v>
      </c>
      <c r="C198" s="6" t="s">
        <v>18</v>
      </c>
      <c r="D198" s="6" t="s">
        <v>19</v>
      </c>
      <c r="E198" s="6" t="s">
        <v>1021</v>
      </c>
      <c r="F198" s="6" t="s">
        <v>641</v>
      </c>
      <c r="G198" s="6" t="s">
        <v>1022</v>
      </c>
      <c r="H198" s="6"/>
      <c r="I198" s="6" t="s">
        <v>881</v>
      </c>
      <c r="J198" s="6"/>
      <c r="K198" s="6"/>
      <c r="L198" s="6"/>
      <c r="M198" s="6"/>
      <c r="N198" s="6" t="s">
        <v>1023</v>
      </c>
      <c r="O198" s="6"/>
      <c r="P198" s="5"/>
      <c r="Q198" s="5"/>
    </row>
    <row r="199" customFormat="false" ht="15" hidden="false" customHeight="true" outlineLevel="0" collapsed="false">
      <c r="A199" s="6" t="n">
        <v>198</v>
      </c>
      <c r="B199" s="6" t="s">
        <v>17</v>
      </c>
      <c r="C199" s="6" t="s">
        <v>18</v>
      </c>
      <c r="D199" s="6" t="s">
        <v>19</v>
      </c>
      <c r="E199" s="6" t="s">
        <v>1024</v>
      </c>
      <c r="F199" s="6" t="s">
        <v>1025</v>
      </c>
      <c r="G199" s="6"/>
      <c r="H199" s="6"/>
      <c r="I199" s="6" t="s">
        <v>881</v>
      </c>
      <c r="J199" s="6"/>
      <c r="K199" s="6"/>
      <c r="L199" s="6"/>
      <c r="M199" s="6"/>
      <c r="N199" s="6"/>
      <c r="O199" s="6"/>
      <c r="P199" s="5"/>
      <c r="Q199" s="5"/>
    </row>
    <row r="200" customFormat="false" ht="34.5" hidden="false" customHeight="true" outlineLevel="0" collapsed="false">
      <c r="A200" s="6" t="n">
        <v>199</v>
      </c>
      <c r="B200" s="6" t="s">
        <v>17</v>
      </c>
      <c r="C200" s="6" t="s">
        <v>18</v>
      </c>
      <c r="D200" s="6" t="s">
        <v>427</v>
      </c>
      <c r="E200" s="6" t="s">
        <v>1026</v>
      </c>
      <c r="F200" s="6" t="s">
        <v>599</v>
      </c>
      <c r="G200" s="6"/>
      <c r="H200" s="6"/>
      <c r="I200" s="6" t="s">
        <v>1027</v>
      </c>
      <c r="J200" s="6"/>
      <c r="K200" s="6"/>
      <c r="L200" s="6"/>
      <c r="M200" s="6"/>
      <c r="N200" s="6"/>
      <c r="O200" s="6"/>
      <c r="P200" s="5"/>
      <c r="Q200" s="5"/>
    </row>
    <row r="201" customFormat="false" ht="23.25" hidden="false" customHeight="true" outlineLevel="0" collapsed="false">
      <c r="A201" s="6" t="n">
        <v>200</v>
      </c>
      <c r="B201" s="6" t="s">
        <v>17</v>
      </c>
      <c r="C201" s="6" t="s">
        <v>18</v>
      </c>
      <c r="D201" s="6" t="s">
        <v>1028</v>
      </c>
      <c r="E201" s="6" t="s">
        <v>1029</v>
      </c>
      <c r="F201" s="6" t="s">
        <v>599</v>
      </c>
      <c r="G201" s="6"/>
      <c r="H201" s="6"/>
      <c r="I201" s="6" t="s">
        <v>1030</v>
      </c>
      <c r="J201" s="6"/>
      <c r="K201" s="6"/>
      <c r="L201" s="6"/>
      <c r="M201" s="6"/>
      <c r="N201" s="6"/>
      <c r="O201" s="6"/>
      <c r="P201" s="5"/>
      <c r="Q201" s="5"/>
    </row>
    <row r="202" customFormat="false" ht="23.25" hidden="false" customHeight="true" outlineLevel="0" collapsed="false">
      <c r="A202" s="6" t="n">
        <v>201</v>
      </c>
      <c r="B202" s="6" t="s">
        <v>17</v>
      </c>
      <c r="C202" s="6" t="s">
        <v>18</v>
      </c>
      <c r="D202" s="6" t="s">
        <v>19</v>
      </c>
      <c r="E202" s="6" t="s">
        <v>1031</v>
      </c>
      <c r="F202" s="6" t="s">
        <v>1032</v>
      </c>
      <c r="G202" s="6"/>
      <c r="H202" s="6"/>
      <c r="I202" s="6" t="s">
        <v>1033</v>
      </c>
      <c r="J202" s="6"/>
      <c r="K202" s="6"/>
      <c r="L202" s="6"/>
      <c r="M202" s="6"/>
      <c r="N202" s="6"/>
      <c r="O202" s="6"/>
      <c r="P202" s="5"/>
      <c r="Q202" s="5"/>
    </row>
    <row r="203" customFormat="false" ht="34.5" hidden="false" customHeight="true" outlineLevel="0" collapsed="false">
      <c r="A203" s="6" t="n">
        <v>202</v>
      </c>
      <c r="B203" s="6" t="s">
        <v>17</v>
      </c>
      <c r="C203" s="6" t="s">
        <v>18</v>
      </c>
      <c r="D203" s="6" t="s">
        <v>427</v>
      </c>
      <c r="E203" s="6" t="s">
        <v>1034</v>
      </c>
      <c r="F203" s="6" t="s">
        <v>1035</v>
      </c>
      <c r="G203" s="6"/>
      <c r="H203" s="6"/>
      <c r="I203" s="6" t="s">
        <v>1036</v>
      </c>
      <c r="J203" s="6"/>
      <c r="K203" s="6"/>
      <c r="L203" s="6"/>
      <c r="M203" s="6"/>
      <c r="N203" s="6"/>
      <c r="O203" s="6"/>
      <c r="P203" s="5"/>
      <c r="Q203" s="5"/>
    </row>
    <row r="204" customFormat="false" ht="34.5" hidden="false" customHeight="true" outlineLevel="0" collapsed="false">
      <c r="A204" s="6" t="n">
        <v>203</v>
      </c>
      <c r="B204" s="6" t="s">
        <v>17</v>
      </c>
      <c r="C204" s="6" t="s">
        <v>18</v>
      </c>
      <c r="D204" s="6" t="s">
        <v>427</v>
      </c>
      <c r="E204" s="6" t="s">
        <v>1037</v>
      </c>
      <c r="F204" s="6" t="s">
        <v>1038</v>
      </c>
      <c r="G204" s="6"/>
      <c r="H204" s="6"/>
      <c r="I204" s="6" t="s">
        <v>675</v>
      </c>
      <c r="J204" s="6"/>
      <c r="K204" s="6"/>
      <c r="L204" s="6"/>
      <c r="M204" s="6"/>
      <c r="N204" s="6"/>
      <c r="O204" s="6"/>
      <c r="P204" s="5"/>
      <c r="Q204" s="5"/>
    </row>
    <row r="205" customFormat="false" ht="15" hidden="false" customHeight="true" outlineLevel="0" collapsed="false">
      <c r="A205" s="6" t="n">
        <v>204</v>
      </c>
      <c r="B205" s="6" t="s">
        <v>17</v>
      </c>
      <c r="C205" s="6" t="s">
        <v>18</v>
      </c>
      <c r="D205" s="6" t="s">
        <v>19</v>
      </c>
      <c r="E205" s="6" t="s">
        <v>1039</v>
      </c>
      <c r="F205" s="6" t="s">
        <v>1040</v>
      </c>
      <c r="G205" s="6"/>
      <c r="H205" s="6"/>
      <c r="I205" s="6" t="s">
        <v>1036</v>
      </c>
      <c r="J205" s="6"/>
      <c r="K205" s="6"/>
      <c r="L205" s="6"/>
      <c r="M205" s="6"/>
      <c r="N205" s="6"/>
      <c r="O205" s="6"/>
      <c r="P205" s="5"/>
      <c r="Q205" s="5"/>
    </row>
    <row r="206" customFormat="false" ht="34.5" hidden="false" customHeight="true" outlineLevel="0" collapsed="false">
      <c r="A206" s="6" t="n">
        <v>205</v>
      </c>
      <c r="B206" s="6" t="s">
        <v>17</v>
      </c>
      <c r="C206" s="6" t="s">
        <v>18</v>
      </c>
      <c r="D206" s="6" t="s">
        <v>427</v>
      </c>
      <c r="E206" s="6" t="s">
        <v>1041</v>
      </c>
      <c r="F206" s="6" t="s">
        <v>1042</v>
      </c>
      <c r="G206" s="6"/>
      <c r="H206" s="6"/>
      <c r="I206" s="6" t="s">
        <v>1030</v>
      </c>
      <c r="J206" s="6"/>
      <c r="K206" s="6"/>
      <c r="L206" s="6"/>
      <c r="M206" s="6"/>
      <c r="N206" s="6"/>
      <c r="O206" s="6"/>
      <c r="P206" s="5"/>
      <c r="Q206" s="5"/>
    </row>
    <row r="207" customFormat="false" ht="57" hidden="false" customHeight="true" outlineLevel="0" collapsed="false">
      <c r="A207" s="6" t="n">
        <v>206</v>
      </c>
      <c r="B207" s="6" t="s">
        <v>17</v>
      </c>
      <c r="C207" s="6" t="s">
        <v>18</v>
      </c>
      <c r="D207" s="6" t="s">
        <v>427</v>
      </c>
      <c r="E207" s="6" t="s">
        <v>1043</v>
      </c>
      <c r="F207" s="6" t="s">
        <v>599</v>
      </c>
      <c r="G207" s="6"/>
      <c r="H207" s="6"/>
      <c r="I207" s="6" t="s">
        <v>647</v>
      </c>
      <c r="J207" s="6"/>
      <c r="K207" s="6"/>
      <c r="L207" s="6"/>
      <c r="M207" s="6"/>
      <c r="N207" s="6"/>
      <c r="O207" s="6"/>
      <c r="P207" s="5"/>
      <c r="Q207" s="5"/>
    </row>
    <row r="208" customFormat="false" ht="15" hidden="false" customHeight="true" outlineLevel="0" collapsed="false">
      <c r="A208" s="5" t="n">
        <v>207</v>
      </c>
      <c r="B208" s="5" t="s">
        <v>17</v>
      </c>
      <c r="C208" s="5" t="s">
        <v>280</v>
      </c>
      <c r="D208" s="5" t="s">
        <v>1044</v>
      </c>
      <c r="E208" s="5" t="s">
        <v>1045</v>
      </c>
      <c r="F208" s="5" t="s">
        <v>1046</v>
      </c>
      <c r="G208" s="5" t="s">
        <v>1047</v>
      </c>
      <c r="H208" s="5" t="s">
        <v>1048</v>
      </c>
      <c r="I208" s="5" t="s">
        <v>24</v>
      </c>
      <c r="J208" s="5" t="s">
        <v>29</v>
      </c>
      <c r="K208" s="5" t="s">
        <v>1049</v>
      </c>
      <c r="L208" s="5" t="s">
        <v>1050</v>
      </c>
      <c r="M208" s="5" t="s">
        <v>1051</v>
      </c>
      <c r="N208" s="5"/>
      <c r="O208" s="5" t="s">
        <v>29</v>
      </c>
      <c r="P208" s="5" t="s">
        <v>30</v>
      </c>
      <c r="Q208" s="5"/>
    </row>
    <row r="209" customFormat="false" ht="15" hidden="false" customHeight="true" outlineLevel="0" collapsed="false">
      <c r="A209" s="5" t="n">
        <v>208</v>
      </c>
      <c r="B209" s="5" t="s">
        <v>17</v>
      </c>
      <c r="C209" s="5" t="s">
        <v>280</v>
      </c>
      <c r="D209" s="5" t="s">
        <v>1052</v>
      </c>
      <c r="E209" s="5" t="s">
        <v>1053</v>
      </c>
      <c r="F209" s="5" t="s">
        <v>1054</v>
      </c>
      <c r="G209" s="5" t="s">
        <v>1055</v>
      </c>
      <c r="H209" s="5" t="s">
        <v>1056</v>
      </c>
      <c r="I209" s="5" t="s">
        <v>24</v>
      </c>
      <c r="J209" s="5" t="s">
        <v>29</v>
      </c>
      <c r="K209" s="5" t="s">
        <v>1057</v>
      </c>
      <c r="L209" s="5" t="s">
        <v>1058</v>
      </c>
      <c r="M209" s="5" t="s">
        <v>1059</v>
      </c>
      <c r="N209" s="5"/>
      <c r="O209" s="5" t="s">
        <v>29</v>
      </c>
      <c r="P209" s="5" t="s">
        <v>30</v>
      </c>
      <c r="Q209" s="5"/>
    </row>
    <row r="210" customFormat="false" ht="15" hidden="false" customHeight="true" outlineLevel="0" collapsed="false">
      <c r="A210" s="5" t="n">
        <v>209</v>
      </c>
      <c r="B210" s="5" t="s">
        <v>17</v>
      </c>
      <c r="C210" s="5" t="s">
        <v>280</v>
      </c>
      <c r="D210" s="5" t="s">
        <v>1052</v>
      </c>
      <c r="E210" s="5" t="s">
        <v>1060</v>
      </c>
      <c r="F210" s="5" t="s">
        <v>1061</v>
      </c>
      <c r="G210" s="5" t="s">
        <v>1062</v>
      </c>
      <c r="H210" s="5" t="s">
        <v>1063</v>
      </c>
      <c r="I210" s="5" t="s">
        <v>24</v>
      </c>
      <c r="J210" s="5" t="s">
        <v>29</v>
      </c>
      <c r="K210" s="5" t="s">
        <v>1064</v>
      </c>
      <c r="L210" s="5" t="s">
        <v>1065</v>
      </c>
      <c r="M210" s="5" t="s">
        <v>1066</v>
      </c>
      <c r="N210" s="5" t="s">
        <v>1067</v>
      </c>
      <c r="O210" s="5" t="s">
        <v>29</v>
      </c>
      <c r="P210" s="5" t="s">
        <v>853</v>
      </c>
      <c r="Q210" s="5" t="s">
        <v>854</v>
      </c>
    </row>
    <row r="211" customFormat="false" ht="15" hidden="false" customHeight="true" outlineLevel="0" collapsed="false">
      <c r="A211" s="5" t="n">
        <v>210</v>
      </c>
      <c r="B211" s="5" t="s">
        <v>17</v>
      </c>
      <c r="C211" s="5" t="s">
        <v>280</v>
      </c>
      <c r="D211" s="5" t="s">
        <v>1052</v>
      </c>
      <c r="E211" s="5" t="s">
        <v>1068</v>
      </c>
      <c r="F211" s="5" t="s">
        <v>1069</v>
      </c>
      <c r="G211" s="5" t="s">
        <v>1070</v>
      </c>
      <c r="H211" s="5" t="s">
        <v>1071</v>
      </c>
      <c r="I211" s="5" t="s">
        <v>24</v>
      </c>
      <c r="J211" s="5" t="s">
        <v>29</v>
      </c>
      <c r="K211" s="5" t="s">
        <v>1072</v>
      </c>
      <c r="L211" s="5" t="s">
        <v>1073</v>
      </c>
      <c r="M211" s="5" t="s">
        <v>1074</v>
      </c>
      <c r="N211" s="5" t="s">
        <v>1075</v>
      </c>
      <c r="O211" s="5" t="s">
        <v>29</v>
      </c>
      <c r="P211" s="5" t="s">
        <v>30</v>
      </c>
      <c r="Q211" s="5"/>
    </row>
    <row r="212" customFormat="false" ht="15" hidden="false" customHeight="true" outlineLevel="0" collapsed="false">
      <c r="A212" s="5" t="n">
        <v>211</v>
      </c>
      <c r="B212" s="5" t="s">
        <v>17</v>
      </c>
      <c r="C212" s="5" t="s">
        <v>280</v>
      </c>
      <c r="D212" s="5" t="s">
        <v>1076</v>
      </c>
      <c r="E212" s="5" t="s">
        <v>1077</v>
      </c>
      <c r="F212" s="5" t="s">
        <v>1078</v>
      </c>
      <c r="G212" s="5" t="s">
        <v>1079</v>
      </c>
      <c r="H212" s="5" t="s">
        <v>1080</v>
      </c>
      <c r="I212" s="5" t="s">
        <v>24</v>
      </c>
      <c r="J212" s="5" t="s">
        <v>29</v>
      </c>
      <c r="K212" s="5" t="s">
        <v>1081</v>
      </c>
      <c r="L212" s="5" t="s">
        <v>1082</v>
      </c>
      <c r="M212" s="5" t="s">
        <v>1083</v>
      </c>
      <c r="N212" s="5"/>
      <c r="O212" s="5" t="s">
        <v>29</v>
      </c>
      <c r="P212" s="5" t="s">
        <v>853</v>
      </c>
      <c r="Q212" s="5" t="s">
        <v>854</v>
      </c>
    </row>
    <row r="213" customFormat="false" ht="15" hidden="false" customHeight="true" outlineLevel="0" collapsed="false">
      <c r="A213" s="5" t="n">
        <v>212</v>
      </c>
      <c r="B213" s="5" t="s">
        <v>17</v>
      </c>
      <c r="C213" s="5" t="s">
        <v>280</v>
      </c>
      <c r="D213" s="5" t="s">
        <v>1084</v>
      </c>
      <c r="E213" s="5" t="s">
        <v>1085</v>
      </c>
      <c r="F213" s="5" t="s">
        <v>1086</v>
      </c>
      <c r="G213" s="5" t="s">
        <v>1087</v>
      </c>
      <c r="H213" s="5" t="s">
        <v>1088</v>
      </c>
      <c r="I213" s="5" t="s">
        <v>24</v>
      </c>
      <c r="J213" s="5" t="s">
        <v>29</v>
      </c>
      <c r="K213" s="5" t="s">
        <v>1089</v>
      </c>
      <c r="L213" s="5" t="s">
        <v>1090</v>
      </c>
      <c r="M213" s="5" t="s">
        <v>1091</v>
      </c>
      <c r="N213" s="5" t="s">
        <v>1092</v>
      </c>
      <c r="O213" s="5" t="s">
        <v>29</v>
      </c>
      <c r="P213" s="5" t="s">
        <v>30</v>
      </c>
      <c r="Q213" s="5"/>
    </row>
    <row r="214" customFormat="false" ht="15" hidden="false" customHeight="true" outlineLevel="0" collapsed="false">
      <c r="A214" s="5" t="n">
        <v>213</v>
      </c>
      <c r="B214" s="5" t="s">
        <v>17</v>
      </c>
      <c r="C214" s="5" t="s">
        <v>280</v>
      </c>
      <c r="D214" s="5" t="s">
        <v>560</v>
      </c>
      <c r="E214" s="5" t="s">
        <v>1093</v>
      </c>
      <c r="F214" s="5" t="s">
        <v>1094</v>
      </c>
      <c r="G214" s="5" t="s">
        <v>1055</v>
      </c>
      <c r="H214" s="5" t="s">
        <v>1095</v>
      </c>
      <c r="I214" s="5" t="s">
        <v>24</v>
      </c>
      <c r="J214" s="5" t="s">
        <v>29</v>
      </c>
      <c r="K214" s="5" t="s">
        <v>1096</v>
      </c>
      <c r="L214" s="5" t="s">
        <v>1097</v>
      </c>
      <c r="M214" s="5" t="s">
        <v>1098</v>
      </c>
      <c r="N214" s="5" t="s">
        <v>1075</v>
      </c>
      <c r="O214" s="5" t="s">
        <v>29</v>
      </c>
      <c r="P214" s="5" t="s">
        <v>30</v>
      </c>
      <c r="Q214" s="5"/>
    </row>
    <row r="215" customFormat="false" ht="15" hidden="false" customHeight="true" outlineLevel="0" collapsed="false">
      <c r="A215" s="5" t="n">
        <v>214</v>
      </c>
      <c r="B215" s="5" t="s">
        <v>17</v>
      </c>
      <c r="C215" s="5" t="s">
        <v>280</v>
      </c>
      <c r="D215" s="5" t="s">
        <v>1052</v>
      </c>
      <c r="E215" s="5" t="s">
        <v>1099</v>
      </c>
      <c r="F215" s="5" t="s">
        <v>1100</v>
      </c>
      <c r="G215" s="5" t="s">
        <v>1087</v>
      </c>
      <c r="H215" s="5" t="s">
        <v>1101</v>
      </c>
      <c r="I215" s="5" t="s">
        <v>24</v>
      </c>
      <c r="J215" s="5" t="s">
        <v>29</v>
      </c>
      <c r="K215" s="5" t="s">
        <v>1102</v>
      </c>
      <c r="L215" s="5" t="s">
        <v>1103</v>
      </c>
      <c r="M215" s="5" t="s">
        <v>1104</v>
      </c>
      <c r="N215" s="5" t="s">
        <v>1075</v>
      </c>
      <c r="O215" s="5" t="s">
        <v>29</v>
      </c>
      <c r="P215" s="5" t="s">
        <v>30</v>
      </c>
      <c r="Q215" s="5"/>
    </row>
    <row r="216" customFormat="false" ht="15" hidden="false" customHeight="true" outlineLevel="0" collapsed="false">
      <c r="A216" s="5" t="n">
        <v>215</v>
      </c>
      <c r="B216" s="5" t="s">
        <v>17</v>
      </c>
      <c r="C216" s="5" t="s">
        <v>280</v>
      </c>
      <c r="D216" s="5" t="s">
        <v>1044</v>
      </c>
      <c r="E216" s="5" t="s">
        <v>1105</v>
      </c>
      <c r="F216" s="5" t="s">
        <v>1106</v>
      </c>
      <c r="G216" s="5" t="s">
        <v>1107</v>
      </c>
      <c r="H216" s="5" t="s">
        <v>1108</v>
      </c>
      <c r="I216" s="5" t="s">
        <v>24</v>
      </c>
      <c r="J216" s="5" t="s">
        <v>29</v>
      </c>
      <c r="K216" s="5" t="s">
        <v>1109</v>
      </c>
      <c r="L216" s="5" t="s">
        <v>1110</v>
      </c>
      <c r="M216" s="5" t="s">
        <v>1111</v>
      </c>
      <c r="N216" s="5" t="s">
        <v>1112</v>
      </c>
      <c r="O216" s="5" t="s">
        <v>29</v>
      </c>
      <c r="P216" s="5" t="s">
        <v>30</v>
      </c>
      <c r="Q216" s="5"/>
    </row>
    <row r="217" customFormat="false" ht="15" hidden="false" customHeight="true" outlineLevel="0" collapsed="false">
      <c r="A217" s="5" t="n">
        <v>216</v>
      </c>
      <c r="B217" s="5" t="s">
        <v>17</v>
      </c>
      <c r="C217" s="5" t="s">
        <v>280</v>
      </c>
      <c r="D217" s="5" t="s">
        <v>1113</v>
      </c>
      <c r="E217" s="5" t="s">
        <v>1114</v>
      </c>
      <c r="F217" s="5" t="s">
        <v>1115</v>
      </c>
      <c r="G217" s="5" t="s">
        <v>1116</v>
      </c>
      <c r="H217" s="5" t="s">
        <v>1117</v>
      </c>
      <c r="I217" s="5" t="s">
        <v>24</v>
      </c>
      <c r="J217" s="5" t="s">
        <v>29</v>
      </c>
      <c r="K217" s="5" t="s">
        <v>1118</v>
      </c>
      <c r="L217" s="5" t="s">
        <v>1119</v>
      </c>
      <c r="M217" s="5" t="s">
        <v>1120</v>
      </c>
      <c r="N217" s="5" t="s">
        <v>1121</v>
      </c>
      <c r="O217" s="5" t="s">
        <v>29</v>
      </c>
      <c r="P217" s="5" t="s">
        <v>30</v>
      </c>
      <c r="Q217" s="5"/>
    </row>
    <row r="218" customFormat="false" ht="15" hidden="false" customHeight="true" outlineLevel="0" collapsed="false">
      <c r="A218" s="5" t="n">
        <v>217</v>
      </c>
      <c r="B218" s="5" t="s">
        <v>17</v>
      </c>
      <c r="C218" s="5" t="s">
        <v>280</v>
      </c>
      <c r="D218" s="5" t="s">
        <v>1122</v>
      </c>
      <c r="E218" s="5" t="s">
        <v>1123</v>
      </c>
      <c r="F218" s="5" t="s">
        <v>1124</v>
      </c>
      <c r="G218" s="5" t="s">
        <v>1125</v>
      </c>
      <c r="H218" s="5" t="s">
        <v>1126</v>
      </c>
      <c r="I218" s="5" t="s">
        <v>24</v>
      </c>
      <c r="J218" s="5" t="s">
        <v>29</v>
      </c>
      <c r="K218" s="5" t="s">
        <v>1127</v>
      </c>
      <c r="L218" s="5" t="s">
        <v>1128</v>
      </c>
      <c r="M218" s="5" t="s">
        <v>1129</v>
      </c>
      <c r="N218" s="5"/>
      <c r="O218" s="5" t="s">
        <v>29</v>
      </c>
      <c r="P218" s="5" t="s">
        <v>30</v>
      </c>
      <c r="Q218" s="5"/>
    </row>
    <row r="219" customFormat="false" ht="15" hidden="false" customHeight="true" outlineLevel="0" collapsed="false">
      <c r="A219" s="7" t="n">
        <v>218</v>
      </c>
      <c r="B219" s="7" t="s">
        <v>17</v>
      </c>
      <c r="C219" s="7" t="s">
        <v>280</v>
      </c>
      <c r="D219" s="7" t="s">
        <v>1130</v>
      </c>
      <c r="E219" s="7" t="s">
        <v>1131</v>
      </c>
      <c r="F219" s="7" t="s">
        <v>1132</v>
      </c>
      <c r="G219" s="7"/>
      <c r="H219" s="7"/>
      <c r="I219" s="7" t="s">
        <v>1133</v>
      </c>
      <c r="J219" s="7"/>
      <c r="K219" s="7"/>
      <c r="L219" s="7"/>
      <c r="M219" s="7" t="s">
        <v>1134</v>
      </c>
      <c r="N219" s="7"/>
      <c r="O219" s="7"/>
      <c r="P219" s="5"/>
      <c r="Q219" s="5"/>
    </row>
    <row r="220" customFormat="false" ht="15" hidden="false" customHeight="true" outlineLevel="0" collapsed="false">
      <c r="A220" s="7" t="n">
        <v>219</v>
      </c>
      <c r="B220" s="7" t="s">
        <v>17</v>
      </c>
      <c r="C220" s="7" t="s">
        <v>280</v>
      </c>
      <c r="D220" s="7" t="s">
        <v>1130</v>
      </c>
      <c r="E220" s="7" t="s">
        <v>1135</v>
      </c>
      <c r="F220" s="7" t="s">
        <v>1136</v>
      </c>
      <c r="G220" s="7"/>
      <c r="H220" s="7"/>
      <c r="I220" s="7" t="s">
        <v>1137</v>
      </c>
      <c r="J220" s="7"/>
      <c r="K220" s="7"/>
      <c r="L220" s="7"/>
      <c r="M220" s="7" t="s">
        <v>1138</v>
      </c>
      <c r="N220" s="7"/>
      <c r="O220" s="7"/>
      <c r="P220" s="5"/>
      <c r="Q220" s="5"/>
    </row>
    <row r="221" customFormat="false" ht="15" hidden="false" customHeight="true" outlineLevel="0" collapsed="false">
      <c r="A221" s="7" t="n">
        <v>220</v>
      </c>
      <c r="B221" s="7" t="s">
        <v>17</v>
      </c>
      <c r="C221" s="7" t="s">
        <v>280</v>
      </c>
      <c r="D221" s="7" t="s">
        <v>1130</v>
      </c>
      <c r="E221" s="7" t="s">
        <v>1139</v>
      </c>
      <c r="F221" s="7" t="s">
        <v>1140</v>
      </c>
      <c r="G221" s="7"/>
      <c r="H221" s="7"/>
      <c r="I221" s="7" t="s">
        <v>1141</v>
      </c>
      <c r="J221" s="7"/>
      <c r="K221" s="7"/>
      <c r="L221" s="7"/>
      <c r="M221" s="7" t="s">
        <v>1142</v>
      </c>
      <c r="N221" s="7"/>
      <c r="O221" s="7"/>
      <c r="P221" s="5"/>
      <c r="Q221" s="5"/>
    </row>
    <row r="222" customFormat="false" ht="15" hidden="false" customHeight="true" outlineLevel="0" collapsed="false">
      <c r="A222" s="7" t="n">
        <v>221</v>
      </c>
      <c r="B222" s="7" t="s">
        <v>17</v>
      </c>
      <c r="C222" s="7" t="s">
        <v>280</v>
      </c>
      <c r="D222" s="7" t="s">
        <v>1130</v>
      </c>
      <c r="E222" s="7" t="s">
        <v>1143</v>
      </c>
      <c r="F222" s="7" t="s">
        <v>599</v>
      </c>
      <c r="G222" s="7"/>
      <c r="H222" s="7"/>
      <c r="I222" s="7" t="s">
        <v>1144</v>
      </c>
      <c r="J222" s="7"/>
      <c r="K222" s="7"/>
      <c r="L222" s="7"/>
      <c r="M222" s="7" t="s">
        <v>1145</v>
      </c>
      <c r="N222" s="7"/>
      <c r="O222" s="7"/>
      <c r="P222" s="5"/>
      <c r="Q222" s="5"/>
    </row>
    <row r="223" customFormat="false" ht="15" hidden="false" customHeight="true" outlineLevel="0" collapsed="false">
      <c r="A223" s="7" t="n">
        <v>222</v>
      </c>
      <c r="B223" s="7" t="s">
        <v>17</v>
      </c>
      <c r="C223" s="7" t="s">
        <v>280</v>
      </c>
      <c r="D223" s="7" t="s">
        <v>1130</v>
      </c>
      <c r="E223" s="7" t="s">
        <v>1146</v>
      </c>
      <c r="F223" s="7" t="s">
        <v>599</v>
      </c>
      <c r="G223" s="7"/>
      <c r="H223" s="7"/>
      <c r="I223" s="7" t="s">
        <v>1147</v>
      </c>
      <c r="J223" s="7"/>
      <c r="K223" s="7"/>
      <c r="L223" s="7"/>
      <c r="M223" s="7" t="s">
        <v>1148</v>
      </c>
      <c r="N223" s="7"/>
      <c r="O223" s="7"/>
      <c r="P223" s="5"/>
      <c r="Q223" s="5"/>
    </row>
    <row r="224" customFormat="false" ht="15" hidden="false" customHeight="true" outlineLevel="0" collapsed="false">
      <c r="A224" s="7" t="n">
        <v>223</v>
      </c>
      <c r="B224" s="7" t="s">
        <v>17</v>
      </c>
      <c r="C224" s="7" t="s">
        <v>280</v>
      </c>
      <c r="D224" s="7" t="s">
        <v>1130</v>
      </c>
      <c r="E224" s="7" t="s">
        <v>1149</v>
      </c>
      <c r="F224" s="7" t="s">
        <v>1150</v>
      </c>
      <c r="G224" s="7"/>
      <c r="H224" s="7"/>
      <c r="I224" s="7" t="s">
        <v>1151</v>
      </c>
      <c r="J224" s="7"/>
      <c r="K224" s="7"/>
      <c r="L224" s="7"/>
      <c r="M224" s="7" t="s">
        <v>1152</v>
      </c>
      <c r="N224" s="7"/>
      <c r="O224" s="7"/>
      <c r="P224" s="5"/>
      <c r="Q224" s="5"/>
    </row>
    <row r="225" customFormat="false" ht="15" hidden="false" customHeight="true" outlineLevel="0" collapsed="false">
      <c r="A225" s="7" t="n">
        <v>224</v>
      </c>
      <c r="B225" s="7" t="s">
        <v>17</v>
      </c>
      <c r="C225" s="7" t="s">
        <v>280</v>
      </c>
      <c r="D225" s="7" t="s">
        <v>1130</v>
      </c>
      <c r="E225" s="7" t="s">
        <v>1153</v>
      </c>
      <c r="F225" s="7" t="s">
        <v>1154</v>
      </c>
      <c r="G225" s="7"/>
      <c r="H225" s="7"/>
      <c r="I225" s="7" t="s">
        <v>1155</v>
      </c>
      <c r="J225" s="7"/>
      <c r="K225" s="7"/>
      <c r="L225" s="7"/>
      <c r="M225" s="7" t="s">
        <v>1156</v>
      </c>
      <c r="N225" s="7"/>
      <c r="O225" s="7"/>
      <c r="P225" s="5"/>
      <c r="Q225" s="5"/>
    </row>
    <row r="226" customFormat="false" ht="15" hidden="false" customHeight="true" outlineLevel="0" collapsed="false">
      <c r="A226" s="7" t="n">
        <v>225</v>
      </c>
      <c r="B226" s="7" t="s">
        <v>17</v>
      </c>
      <c r="C226" s="7" t="s">
        <v>280</v>
      </c>
      <c r="D226" s="7" t="s">
        <v>1130</v>
      </c>
      <c r="E226" s="7" t="s">
        <v>1157</v>
      </c>
      <c r="F226" s="7" t="s">
        <v>1158</v>
      </c>
      <c r="G226" s="7"/>
      <c r="H226" s="7"/>
      <c r="I226" s="7" t="s">
        <v>1159</v>
      </c>
      <c r="J226" s="7"/>
      <c r="K226" s="7"/>
      <c r="L226" s="7"/>
      <c r="M226" s="7" t="s">
        <v>1160</v>
      </c>
      <c r="N226" s="7"/>
      <c r="O226" s="7"/>
      <c r="P226" s="5"/>
      <c r="Q226" s="5"/>
    </row>
    <row r="227" customFormat="false" ht="15" hidden="false" customHeight="true" outlineLevel="0" collapsed="false">
      <c r="A227" s="7" t="n">
        <v>226</v>
      </c>
      <c r="B227" s="7" t="s">
        <v>17</v>
      </c>
      <c r="C227" s="7" t="s">
        <v>280</v>
      </c>
      <c r="D227" s="7" t="s">
        <v>1130</v>
      </c>
      <c r="E227" s="7" t="s">
        <v>1161</v>
      </c>
      <c r="F227" s="7" t="s">
        <v>1162</v>
      </c>
      <c r="G227" s="7"/>
      <c r="H227" s="7"/>
      <c r="I227" s="7" t="s">
        <v>1163</v>
      </c>
      <c r="J227" s="7"/>
      <c r="K227" s="7"/>
      <c r="L227" s="7"/>
      <c r="M227" s="7" t="s">
        <v>1164</v>
      </c>
      <c r="N227" s="7"/>
      <c r="O227" s="7"/>
      <c r="P227" s="5"/>
      <c r="Q227" s="5"/>
    </row>
    <row r="228" customFormat="false" ht="15" hidden="false" customHeight="true" outlineLevel="0" collapsed="false">
      <c r="A228" s="7" t="n">
        <v>227</v>
      </c>
      <c r="B228" s="7" t="s">
        <v>17</v>
      </c>
      <c r="C228" s="7" t="s">
        <v>280</v>
      </c>
      <c r="D228" s="7" t="s">
        <v>1130</v>
      </c>
      <c r="E228" s="7" t="s">
        <v>1165</v>
      </c>
      <c r="F228" s="7" t="s">
        <v>599</v>
      </c>
      <c r="G228" s="7"/>
      <c r="H228" s="7"/>
      <c r="I228" s="7" t="s">
        <v>1166</v>
      </c>
      <c r="J228" s="7"/>
      <c r="K228" s="7"/>
      <c r="L228" s="7"/>
      <c r="M228" s="7" t="s">
        <v>1167</v>
      </c>
      <c r="N228" s="7"/>
      <c r="O228" s="7"/>
      <c r="P228" s="5"/>
      <c r="Q228" s="5"/>
    </row>
    <row r="229" customFormat="false" ht="15" hidden="false" customHeight="true" outlineLevel="0" collapsed="false">
      <c r="A229" s="7" t="n">
        <v>228</v>
      </c>
      <c r="B229" s="7" t="s">
        <v>17</v>
      </c>
      <c r="C229" s="7" t="s">
        <v>280</v>
      </c>
      <c r="D229" s="7" t="s">
        <v>1130</v>
      </c>
      <c r="E229" s="7" t="s">
        <v>1168</v>
      </c>
      <c r="F229" s="7" t="s">
        <v>1169</v>
      </c>
      <c r="G229" s="7"/>
      <c r="H229" s="7"/>
      <c r="I229" s="7" t="s">
        <v>744</v>
      </c>
      <c r="J229" s="7"/>
      <c r="K229" s="7"/>
      <c r="L229" s="7"/>
      <c r="M229" s="7" t="s">
        <v>1170</v>
      </c>
      <c r="N229" s="7"/>
      <c r="O229" s="7"/>
      <c r="P229" s="5"/>
      <c r="Q229" s="5"/>
    </row>
    <row r="230" customFormat="false" ht="15" hidden="false" customHeight="true" outlineLevel="0" collapsed="false">
      <c r="A230" s="7" t="n">
        <v>229</v>
      </c>
      <c r="B230" s="7" t="s">
        <v>17</v>
      </c>
      <c r="C230" s="7" t="s">
        <v>280</v>
      </c>
      <c r="D230" s="7" t="s">
        <v>1130</v>
      </c>
      <c r="E230" s="7" t="s">
        <v>1171</v>
      </c>
      <c r="F230" s="7" t="s">
        <v>599</v>
      </c>
      <c r="G230" s="7"/>
      <c r="H230" s="7"/>
      <c r="I230" s="7" t="s">
        <v>1172</v>
      </c>
      <c r="J230" s="7"/>
      <c r="K230" s="7"/>
      <c r="L230" s="7"/>
      <c r="M230" s="7" t="s">
        <v>1173</v>
      </c>
      <c r="N230" s="7"/>
      <c r="O230" s="7"/>
      <c r="P230" s="5"/>
      <c r="Q230" s="5"/>
    </row>
    <row r="231" customFormat="false" ht="15" hidden="false" customHeight="true" outlineLevel="0" collapsed="false">
      <c r="A231" s="7" t="n">
        <v>230</v>
      </c>
      <c r="B231" s="7" t="s">
        <v>17</v>
      </c>
      <c r="C231" s="7" t="s">
        <v>280</v>
      </c>
      <c r="D231" s="7" t="s">
        <v>1130</v>
      </c>
      <c r="E231" s="7" t="s">
        <v>1174</v>
      </c>
      <c r="F231" s="7" t="s">
        <v>403</v>
      </c>
      <c r="G231" s="7"/>
      <c r="H231" s="7"/>
      <c r="I231" s="7" t="s">
        <v>1175</v>
      </c>
      <c r="J231" s="7"/>
      <c r="K231" s="7"/>
      <c r="L231" s="7"/>
      <c r="M231" s="7" t="s">
        <v>1176</v>
      </c>
      <c r="N231" s="7"/>
      <c r="O231" s="7"/>
      <c r="P231" s="5"/>
      <c r="Q231" s="5"/>
    </row>
    <row r="232" customFormat="false" ht="15" hidden="false" customHeight="true" outlineLevel="0" collapsed="false">
      <c r="A232" s="7" t="n">
        <v>231</v>
      </c>
      <c r="B232" s="7" t="s">
        <v>17</v>
      </c>
      <c r="C232" s="7" t="s">
        <v>280</v>
      </c>
      <c r="D232" s="7" t="s">
        <v>1130</v>
      </c>
      <c r="E232" s="7" t="s">
        <v>1177</v>
      </c>
      <c r="F232" s="7" t="s">
        <v>599</v>
      </c>
      <c r="G232" s="7"/>
      <c r="H232" s="7"/>
      <c r="I232" s="7" t="s">
        <v>1030</v>
      </c>
      <c r="J232" s="7"/>
      <c r="K232" s="7"/>
      <c r="L232" s="7"/>
      <c r="M232" s="7" t="s">
        <v>1178</v>
      </c>
      <c r="N232" s="7"/>
      <c r="O232" s="7"/>
      <c r="P232" s="5"/>
      <c r="Q232" s="5"/>
    </row>
    <row r="233" customFormat="false" ht="15" hidden="false" customHeight="true" outlineLevel="0" collapsed="false">
      <c r="A233" s="7" t="n">
        <v>232</v>
      </c>
      <c r="B233" s="7" t="s">
        <v>17</v>
      </c>
      <c r="C233" s="7" t="s">
        <v>280</v>
      </c>
      <c r="D233" s="7" t="s">
        <v>1130</v>
      </c>
      <c r="E233" s="7" t="s">
        <v>1179</v>
      </c>
      <c r="F233" s="7" t="s">
        <v>1180</v>
      </c>
      <c r="G233" s="7"/>
      <c r="H233" s="7"/>
      <c r="I233" s="7" t="s">
        <v>1181</v>
      </c>
      <c r="J233" s="7"/>
      <c r="K233" s="7"/>
      <c r="L233" s="7"/>
      <c r="M233" s="7" t="s">
        <v>1182</v>
      </c>
      <c r="N233" s="7"/>
      <c r="O233" s="7"/>
      <c r="P233" s="5"/>
      <c r="Q233" s="5"/>
    </row>
    <row r="234" customFormat="false" ht="15" hidden="false" customHeight="true" outlineLevel="0" collapsed="false">
      <c r="A234" s="7" t="n">
        <v>233</v>
      </c>
      <c r="B234" s="7" t="s">
        <v>17</v>
      </c>
      <c r="C234" s="7" t="s">
        <v>280</v>
      </c>
      <c r="D234" s="7" t="s">
        <v>1130</v>
      </c>
      <c r="E234" s="7" t="s">
        <v>1183</v>
      </c>
      <c r="F234" s="7" t="s">
        <v>1180</v>
      </c>
      <c r="G234" s="7"/>
      <c r="H234" s="7"/>
      <c r="I234" s="7" t="s">
        <v>590</v>
      </c>
      <c r="J234" s="7"/>
      <c r="K234" s="7"/>
      <c r="L234" s="7"/>
      <c r="M234" s="7" t="s">
        <v>1184</v>
      </c>
      <c r="N234" s="7"/>
      <c r="O234" s="7"/>
      <c r="P234" s="5"/>
      <c r="Q234" s="5"/>
    </row>
    <row r="235" customFormat="false" ht="15" hidden="false" customHeight="true" outlineLevel="0" collapsed="false">
      <c r="A235" s="7" t="n">
        <v>234</v>
      </c>
      <c r="B235" s="7" t="s">
        <v>17</v>
      </c>
      <c r="C235" s="7" t="s">
        <v>280</v>
      </c>
      <c r="D235" s="7" t="s">
        <v>1130</v>
      </c>
      <c r="E235" s="7" t="s">
        <v>1185</v>
      </c>
      <c r="F235" s="7" t="s">
        <v>599</v>
      </c>
      <c r="G235" s="7"/>
      <c r="H235" s="7"/>
      <c r="I235" s="7" t="s">
        <v>1186</v>
      </c>
      <c r="J235" s="7"/>
      <c r="K235" s="7"/>
      <c r="L235" s="7"/>
      <c r="M235" s="7" t="s">
        <v>1187</v>
      </c>
      <c r="N235" s="7"/>
      <c r="O235" s="7"/>
      <c r="P235" s="5"/>
      <c r="Q235" s="5"/>
    </row>
    <row r="236" customFormat="false" ht="15" hidden="false" customHeight="true" outlineLevel="0" collapsed="false">
      <c r="A236" s="7" t="n">
        <v>235</v>
      </c>
      <c r="B236" s="7" t="s">
        <v>17</v>
      </c>
      <c r="C236" s="7" t="s">
        <v>280</v>
      </c>
      <c r="D236" s="7" t="s">
        <v>1130</v>
      </c>
      <c r="E236" s="7" t="s">
        <v>1188</v>
      </c>
      <c r="F236" s="7" t="s">
        <v>1189</v>
      </c>
      <c r="G236" s="7"/>
      <c r="H236" s="7"/>
      <c r="I236" s="7" t="s">
        <v>1190</v>
      </c>
      <c r="J236" s="7"/>
      <c r="K236" s="7"/>
      <c r="L236" s="7"/>
      <c r="M236" s="7" t="s">
        <v>1191</v>
      </c>
      <c r="N236" s="7"/>
      <c r="O236" s="7"/>
      <c r="P236" s="5"/>
      <c r="Q236" s="5"/>
    </row>
    <row r="237" customFormat="false" ht="15" hidden="false" customHeight="true" outlineLevel="0" collapsed="false">
      <c r="A237" s="7" t="n">
        <v>236</v>
      </c>
      <c r="B237" s="7" t="s">
        <v>17</v>
      </c>
      <c r="C237" s="7" t="s">
        <v>280</v>
      </c>
      <c r="D237" s="7" t="s">
        <v>1130</v>
      </c>
      <c r="E237" s="7" t="s">
        <v>1192</v>
      </c>
      <c r="F237" s="7" t="s">
        <v>599</v>
      </c>
      <c r="G237" s="7"/>
      <c r="H237" s="7"/>
      <c r="I237" s="7" t="s">
        <v>1172</v>
      </c>
      <c r="J237" s="7"/>
      <c r="K237" s="7"/>
      <c r="L237" s="7"/>
      <c r="M237" s="7" t="s">
        <v>1193</v>
      </c>
      <c r="N237" s="7"/>
      <c r="O237" s="7"/>
      <c r="P237" s="5"/>
      <c r="Q237" s="5"/>
    </row>
    <row r="238" customFormat="false" ht="15" hidden="false" customHeight="true" outlineLevel="0" collapsed="false">
      <c r="A238" s="7" t="n">
        <v>237</v>
      </c>
      <c r="B238" s="7" t="s">
        <v>17</v>
      </c>
      <c r="C238" s="7" t="s">
        <v>280</v>
      </c>
      <c r="D238" s="7" t="s">
        <v>1130</v>
      </c>
      <c r="E238" s="7" t="s">
        <v>1194</v>
      </c>
      <c r="F238" s="7" t="s">
        <v>599</v>
      </c>
      <c r="G238" s="7"/>
      <c r="H238" s="7"/>
      <c r="I238" s="7" t="s">
        <v>1195</v>
      </c>
      <c r="J238" s="7"/>
      <c r="K238" s="7"/>
      <c r="L238" s="7"/>
      <c r="M238" s="7" t="s">
        <v>1196</v>
      </c>
      <c r="N238" s="7"/>
      <c r="O238" s="7"/>
      <c r="P238" s="5"/>
      <c r="Q238" s="5"/>
    </row>
    <row r="239" customFormat="false" ht="15" hidden="false" customHeight="true" outlineLevel="0" collapsed="false">
      <c r="A239" s="7" t="n">
        <v>238</v>
      </c>
      <c r="B239" s="7" t="s">
        <v>17</v>
      </c>
      <c r="C239" s="7" t="s">
        <v>280</v>
      </c>
      <c r="D239" s="7" t="s">
        <v>1130</v>
      </c>
      <c r="E239" s="7" t="s">
        <v>1197</v>
      </c>
      <c r="F239" s="7" t="s">
        <v>1198</v>
      </c>
      <c r="G239" s="7"/>
      <c r="H239" s="7"/>
      <c r="I239" s="7" t="s">
        <v>1199</v>
      </c>
      <c r="J239" s="7"/>
      <c r="K239" s="7"/>
      <c r="L239" s="7"/>
      <c r="M239" s="7" t="s">
        <v>1200</v>
      </c>
      <c r="N239" s="7"/>
      <c r="O239" s="7"/>
      <c r="P239" s="5"/>
      <c r="Q239" s="5"/>
    </row>
    <row r="240" customFormat="false" ht="15" hidden="false" customHeight="true" outlineLevel="0" collapsed="false">
      <c r="A240" s="7" t="n">
        <v>239</v>
      </c>
      <c r="B240" s="7" t="s">
        <v>17</v>
      </c>
      <c r="C240" s="7" t="s">
        <v>280</v>
      </c>
      <c r="D240" s="7" t="s">
        <v>1130</v>
      </c>
      <c r="E240" s="7" t="s">
        <v>1201</v>
      </c>
      <c r="F240" s="7" t="s">
        <v>599</v>
      </c>
      <c r="G240" s="7"/>
      <c r="H240" s="7"/>
      <c r="I240" s="7" t="s">
        <v>1202</v>
      </c>
      <c r="J240" s="7"/>
      <c r="K240" s="7"/>
      <c r="L240" s="7"/>
      <c r="M240" s="7" t="s">
        <v>1203</v>
      </c>
      <c r="N240" s="7"/>
      <c r="O240" s="7"/>
      <c r="P240" s="5"/>
      <c r="Q240" s="5"/>
    </row>
    <row r="241" customFormat="false" ht="15" hidden="false" customHeight="true" outlineLevel="0" collapsed="false">
      <c r="A241" s="7" t="n">
        <v>240</v>
      </c>
      <c r="B241" s="7" t="s">
        <v>17</v>
      </c>
      <c r="C241" s="7" t="s">
        <v>280</v>
      </c>
      <c r="D241" s="7" t="s">
        <v>1130</v>
      </c>
      <c r="E241" s="7" t="s">
        <v>1204</v>
      </c>
      <c r="F241" s="7" t="s">
        <v>599</v>
      </c>
      <c r="G241" s="7"/>
      <c r="H241" s="7"/>
      <c r="I241" s="7" t="s">
        <v>1147</v>
      </c>
      <c r="J241" s="7"/>
      <c r="K241" s="7"/>
      <c r="L241" s="7"/>
      <c r="M241" s="7" t="s">
        <v>1205</v>
      </c>
      <c r="N241" s="7"/>
      <c r="O241" s="7"/>
      <c r="P241" s="5"/>
      <c r="Q241" s="5"/>
    </row>
    <row r="242" customFormat="false" ht="15" hidden="false" customHeight="true" outlineLevel="0" collapsed="false">
      <c r="A242" s="5" t="n">
        <v>241</v>
      </c>
      <c r="B242" s="5" t="s">
        <v>17</v>
      </c>
      <c r="C242" s="5" t="s">
        <v>280</v>
      </c>
      <c r="D242" s="5" t="s">
        <v>1044</v>
      </c>
      <c r="E242" s="5" t="s">
        <v>1143</v>
      </c>
      <c r="F242" s="5" t="s">
        <v>1206</v>
      </c>
      <c r="G242" s="5" t="s">
        <v>1207</v>
      </c>
      <c r="H242" s="5" t="s">
        <v>1208</v>
      </c>
      <c r="I242" s="5" t="s">
        <v>24</v>
      </c>
      <c r="J242" s="5" t="s">
        <v>29</v>
      </c>
      <c r="K242" s="5" t="s">
        <v>1209</v>
      </c>
      <c r="L242" s="5" t="s">
        <v>1210</v>
      </c>
      <c r="M242" s="5" t="s">
        <v>1211</v>
      </c>
      <c r="N242" s="5" t="s">
        <v>1212</v>
      </c>
      <c r="O242" s="1" t="s">
        <v>29</v>
      </c>
      <c r="P242" s="5" t="s">
        <v>30</v>
      </c>
      <c r="Q242" s="5"/>
    </row>
    <row r="243" customFormat="false" ht="15" hidden="false" customHeight="true" outlineLevel="0" collapsed="false">
      <c r="A243" s="5" t="n">
        <v>242</v>
      </c>
      <c r="B243" s="5" t="s">
        <v>17</v>
      </c>
      <c r="C243" s="5" t="s">
        <v>280</v>
      </c>
      <c r="D243" s="5" t="s">
        <v>1213</v>
      </c>
      <c r="E243" s="5" t="s">
        <v>1214</v>
      </c>
      <c r="F243" s="5" t="s">
        <v>1215</v>
      </c>
      <c r="G243" s="5" t="s">
        <v>1216</v>
      </c>
      <c r="H243" s="5" t="s">
        <v>1217</v>
      </c>
      <c r="I243" s="5" t="s">
        <v>24</v>
      </c>
      <c r="J243" s="5" t="s">
        <v>29</v>
      </c>
      <c r="K243" s="5" t="s">
        <v>1218</v>
      </c>
      <c r="L243" s="5" t="s">
        <v>1210</v>
      </c>
      <c r="M243" s="5" t="s">
        <v>1219</v>
      </c>
      <c r="N243" s="5" t="s">
        <v>1220</v>
      </c>
      <c r="O243" s="1" t="s">
        <v>29</v>
      </c>
      <c r="P243" s="5" t="s">
        <v>30</v>
      </c>
      <c r="Q243" s="5"/>
    </row>
    <row r="244" customFormat="false" ht="15" hidden="false" customHeight="true" outlineLevel="0" collapsed="false">
      <c r="A244" s="5" t="n">
        <v>243</v>
      </c>
      <c r="B244" s="5" t="s">
        <v>17</v>
      </c>
      <c r="C244" s="5" t="s">
        <v>1221</v>
      </c>
      <c r="D244" s="5" t="s">
        <v>1044</v>
      </c>
      <c r="E244" s="5" t="s">
        <v>1222</v>
      </c>
      <c r="F244" s="5" t="s">
        <v>1223</v>
      </c>
      <c r="G244" s="5" t="s">
        <v>1224</v>
      </c>
      <c r="H244" s="5" t="s">
        <v>1225</v>
      </c>
      <c r="I244" s="5" t="s">
        <v>24</v>
      </c>
      <c r="J244" s="5" t="s">
        <v>29</v>
      </c>
      <c r="K244" s="5" t="s">
        <v>1226</v>
      </c>
      <c r="L244" s="5" t="s">
        <v>1210</v>
      </c>
      <c r="M244" s="5" t="s">
        <v>1227</v>
      </c>
      <c r="N244" s="5" t="s">
        <v>1228</v>
      </c>
      <c r="O244" s="1" t="s">
        <v>29</v>
      </c>
      <c r="P244" s="5" t="s">
        <v>30</v>
      </c>
      <c r="Q244" s="5"/>
    </row>
    <row r="245" customFormat="false" ht="15" hidden="false" customHeight="true" outlineLevel="0" collapsed="false">
      <c r="A245" s="5" t="n">
        <v>244</v>
      </c>
      <c r="B245" s="5" t="s">
        <v>17</v>
      </c>
      <c r="C245" s="5" t="s">
        <v>1221</v>
      </c>
      <c r="D245" s="5" t="s">
        <v>1213</v>
      </c>
      <c r="E245" s="5" t="s">
        <v>1229</v>
      </c>
      <c r="F245" s="5" t="s">
        <v>1230</v>
      </c>
      <c r="G245" s="5" t="s">
        <v>1231</v>
      </c>
      <c r="H245" s="5" t="s">
        <v>1232</v>
      </c>
      <c r="I245" s="5" t="s">
        <v>24</v>
      </c>
      <c r="J245" s="5" t="s">
        <v>29</v>
      </c>
      <c r="K245" s="5" t="s">
        <v>1233</v>
      </c>
      <c r="L245" s="5" t="s">
        <v>1210</v>
      </c>
      <c r="M245" s="5" t="s">
        <v>1234</v>
      </c>
      <c r="N245" s="5" t="s">
        <v>1235</v>
      </c>
      <c r="O245" s="1" t="s">
        <v>29</v>
      </c>
      <c r="P245" s="5" t="s">
        <v>30</v>
      </c>
      <c r="Q245" s="5"/>
    </row>
    <row r="246" customFormat="false" ht="15" hidden="false" customHeight="true" outlineLevel="0" collapsed="false">
      <c r="A246" s="5" t="n">
        <v>245</v>
      </c>
      <c r="B246" s="5" t="s">
        <v>17</v>
      </c>
      <c r="C246" s="5" t="s">
        <v>201</v>
      </c>
      <c r="D246" s="5" t="s">
        <v>1236</v>
      </c>
      <c r="E246" s="5" t="s">
        <v>402</v>
      </c>
      <c r="F246" s="5" t="s">
        <v>1237</v>
      </c>
      <c r="G246" s="5" t="s">
        <v>1238</v>
      </c>
      <c r="H246" s="5" t="s">
        <v>1239</v>
      </c>
      <c r="I246" s="5" t="s">
        <v>24</v>
      </c>
      <c r="J246" s="5" t="s">
        <v>29</v>
      </c>
      <c r="K246" s="5" t="s">
        <v>1240</v>
      </c>
      <c r="L246" s="5" t="s">
        <v>1210</v>
      </c>
      <c r="M246" s="5" t="s">
        <v>1241</v>
      </c>
      <c r="N246" s="5" t="s">
        <v>1242</v>
      </c>
      <c r="O246" s="1" t="s">
        <v>29</v>
      </c>
      <c r="P246" s="5" t="s">
        <v>30</v>
      </c>
      <c r="Q246" s="5"/>
    </row>
    <row r="247" customFormat="false" ht="15" hidden="false" customHeight="true" outlineLevel="0" collapsed="false">
      <c r="A247" s="5" t="n">
        <v>246</v>
      </c>
      <c r="B247" s="5" t="s">
        <v>17</v>
      </c>
      <c r="C247" s="5" t="s">
        <v>201</v>
      </c>
      <c r="D247" s="5" t="s">
        <v>1213</v>
      </c>
      <c r="E247" s="5" t="s">
        <v>1243</v>
      </c>
      <c r="F247" s="5" t="s">
        <v>1244</v>
      </c>
      <c r="G247" s="5" t="s">
        <v>1245</v>
      </c>
      <c r="H247" s="5" t="s">
        <v>1246</v>
      </c>
      <c r="I247" s="5" t="s">
        <v>24</v>
      </c>
      <c r="J247" s="5" t="s">
        <v>29</v>
      </c>
      <c r="K247" s="5" t="s">
        <v>1247</v>
      </c>
      <c r="L247" s="5" t="s">
        <v>1210</v>
      </c>
      <c r="M247" s="5" t="s">
        <v>1248</v>
      </c>
      <c r="N247" s="5" t="s">
        <v>1249</v>
      </c>
      <c r="O247" s="1" t="s">
        <v>29</v>
      </c>
      <c r="P247" s="5" t="s">
        <v>30</v>
      </c>
      <c r="Q247" s="5"/>
    </row>
    <row r="248" customFormat="false" ht="15" hidden="false" customHeight="true" outlineLevel="0" collapsed="false">
      <c r="A248" s="5" t="n">
        <v>247</v>
      </c>
      <c r="B248" s="5" t="s">
        <v>17</v>
      </c>
      <c r="C248" s="5" t="s">
        <v>287</v>
      </c>
      <c r="D248" s="5" t="s">
        <v>1236</v>
      </c>
      <c r="E248" s="5" t="s">
        <v>1250</v>
      </c>
      <c r="F248" s="5" t="s">
        <v>1251</v>
      </c>
      <c r="G248" s="5" t="s">
        <v>1252</v>
      </c>
      <c r="H248" s="5" t="s">
        <v>1253</v>
      </c>
      <c r="I248" s="5" t="s">
        <v>24</v>
      </c>
      <c r="J248" s="5" t="s">
        <v>29</v>
      </c>
      <c r="K248" s="5" t="s">
        <v>1254</v>
      </c>
      <c r="L248" s="5" t="s">
        <v>1210</v>
      </c>
      <c r="M248" s="5" t="s">
        <v>1255</v>
      </c>
      <c r="N248" s="5" t="s">
        <v>1256</v>
      </c>
      <c r="O248" s="1" t="s">
        <v>29</v>
      </c>
      <c r="P248" s="5" t="s">
        <v>30</v>
      </c>
      <c r="Q248" s="5"/>
    </row>
    <row r="249" customFormat="false" ht="15" hidden="false" customHeight="true" outlineLevel="0" collapsed="false">
      <c r="A249" s="5" t="n">
        <v>248</v>
      </c>
      <c r="B249" s="5" t="s">
        <v>17</v>
      </c>
      <c r="C249" s="5" t="s">
        <v>287</v>
      </c>
      <c r="D249" s="5" t="s">
        <v>1044</v>
      </c>
      <c r="E249" s="5" t="s">
        <v>1257</v>
      </c>
      <c r="F249" s="5" t="s">
        <v>1258</v>
      </c>
      <c r="G249" s="5" t="s">
        <v>1259</v>
      </c>
      <c r="H249" s="5" t="s">
        <v>1260</v>
      </c>
      <c r="I249" s="5" t="s">
        <v>24</v>
      </c>
      <c r="J249" s="5" t="s">
        <v>29</v>
      </c>
      <c r="K249" s="5" t="s">
        <v>1261</v>
      </c>
      <c r="L249" s="5" t="s">
        <v>1210</v>
      </c>
      <c r="M249" s="5" t="s">
        <v>1262</v>
      </c>
      <c r="N249" s="5" t="s">
        <v>1263</v>
      </c>
      <c r="O249" s="1" t="s">
        <v>29</v>
      </c>
      <c r="P249" s="5" t="s">
        <v>30</v>
      </c>
      <c r="Q249" s="5"/>
    </row>
    <row r="250" customFormat="false" ht="15" hidden="false" customHeight="true" outlineLevel="0" collapsed="false">
      <c r="A250" s="5" t="n">
        <v>249</v>
      </c>
      <c r="B250" s="5" t="s">
        <v>17</v>
      </c>
      <c r="C250" s="5" t="s">
        <v>287</v>
      </c>
      <c r="D250" s="5" t="s">
        <v>1213</v>
      </c>
      <c r="E250" s="5" t="s">
        <v>1264</v>
      </c>
      <c r="F250" s="5" t="s">
        <v>1230</v>
      </c>
      <c r="G250" s="5" t="s">
        <v>1265</v>
      </c>
      <c r="H250" s="5" t="s">
        <v>1266</v>
      </c>
      <c r="I250" s="5" t="s">
        <v>24</v>
      </c>
      <c r="J250" s="5" t="s">
        <v>29</v>
      </c>
      <c r="K250" s="5" t="s">
        <v>1267</v>
      </c>
      <c r="L250" s="5" t="s">
        <v>1210</v>
      </c>
      <c r="M250" s="5" t="s">
        <v>1268</v>
      </c>
      <c r="N250" s="5" t="s">
        <v>1269</v>
      </c>
      <c r="O250" s="1" t="s">
        <v>29</v>
      </c>
      <c r="P250" s="5" t="s">
        <v>30</v>
      </c>
      <c r="Q250" s="5"/>
    </row>
    <row r="251" customFormat="false" ht="15" hidden="false" customHeight="true" outlineLevel="0" collapsed="false">
      <c r="A251" s="5" t="n">
        <v>250</v>
      </c>
      <c r="B251" s="5" t="s">
        <v>17</v>
      </c>
      <c r="C251" s="5" t="s">
        <v>1270</v>
      </c>
      <c r="D251" s="5" t="s">
        <v>1044</v>
      </c>
      <c r="E251" s="5" t="s">
        <v>1271</v>
      </c>
      <c r="F251" s="5" t="s">
        <v>1272</v>
      </c>
      <c r="G251" s="5" t="s">
        <v>1273</v>
      </c>
      <c r="H251" s="5" t="s">
        <v>1274</v>
      </c>
      <c r="I251" s="5" t="s">
        <v>24</v>
      </c>
      <c r="J251" s="5" t="s">
        <v>29</v>
      </c>
      <c r="K251" s="5" t="s">
        <v>1275</v>
      </c>
      <c r="L251" s="5" t="s">
        <v>1210</v>
      </c>
      <c r="M251" s="5" t="s">
        <v>1276</v>
      </c>
      <c r="N251" s="5" t="s">
        <v>1277</v>
      </c>
      <c r="O251" s="1" t="s">
        <v>29</v>
      </c>
      <c r="P251" s="5" t="s">
        <v>30</v>
      </c>
      <c r="Q251" s="5"/>
    </row>
    <row r="252" customFormat="false" ht="15" hidden="false" customHeight="true" outlineLevel="0" collapsed="false">
      <c r="A252" s="5" t="n">
        <v>251</v>
      </c>
      <c r="B252" s="5" t="s">
        <v>17</v>
      </c>
      <c r="C252" s="5" t="s">
        <v>1270</v>
      </c>
      <c r="D252" s="5" t="s">
        <v>1044</v>
      </c>
      <c r="E252" s="5" t="s">
        <v>1278</v>
      </c>
      <c r="F252" s="5" t="s">
        <v>1279</v>
      </c>
      <c r="G252" s="5" t="s">
        <v>1280</v>
      </c>
      <c r="H252" s="5" t="s">
        <v>1281</v>
      </c>
      <c r="I252" s="5" t="s">
        <v>24</v>
      </c>
      <c r="J252" s="5" t="s">
        <v>29</v>
      </c>
      <c r="K252" s="5" t="s">
        <v>1282</v>
      </c>
      <c r="L252" s="5" t="s">
        <v>1210</v>
      </c>
      <c r="M252" s="5" t="s">
        <v>1276</v>
      </c>
      <c r="N252" s="5" t="s">
        <v>1283</v>
      </c>
      <c r="O252" s="1" t="s">
        <v>29</v>
      </c>
      <c r="P252" s="5" t="s">
        <v>30</v>
      </c>
      <c r="Q252" s="5"/>
    </row>
    <row r="253" customFormat="false" ht="15" hidden="false" customHeight="true" outlineLevel="0" collapsed="false">
      <c r="A253" s="5" t="n">
        <v>252</v>
      </c>
      <c r="B253" s="5" t="s">
        <v>17</v>
      </c>
      <c r="C253" s="5" t="s">
        <v>1270</v>
      </c>
      <c r="D253" s="5" t="s">
        <v>1044</v>
      </c>
      <c r="E253" s="5" t="s">
        <v>1284</v>
      </c>
      <c r="F253" s="5" t="s">
        <v>1285</v>
      </c>
      <c r="G253" s="5" t="s">
        <v>1286</v>
      </c>
      <c r="H253" s="5" t="s">
        <v>1287</v>
      </c>
      <c r="I253" s="5" t="s">
        <v>24</v>
      </c>
      <c r="J253" s="5" t="s">
        <v>29</v>
      </c>
      <c r="K253" s="5" t="s">
        <v>1288</v>
      </c>
      <c r="L253" s="5" t="s">
        <v>1210</v>
      </c>
      <c r="M253" s="5" t="s">
        <v>1276</v>
      </c>
      <c r="N253" s="5" t="s">
        <v>1289</v>
      </c>
      <c r="O253" s="1" t="s">
        <v>29</v>
      </c>
      <c r="P253" s="5" t="s">
        <v>30</v>
      </c>
      <c r="Q253" s="5"/>
    </row>
    <row r="254" customFormat="false" ht="15" hidden="false" customHeight="true" outlineLevel="0" collapsed="false">
      <c r="A254" s="5" t="n">
        <v>253</v>
      </c>
      <c r="B254" s="5" t="s">
        <v>17</v>
      </c>
      <c r="C254" s="5" t="s">
        <v>1270</v>
      </c>
      <c r="D254" s="5" t="s">
        <v>1213</v>
      </c>
      <c r="E254" s="5" t="s">
        <v>1290</v>
      </c>
      <c r="F254" s="5" t="s">
        <v>1230</v>
      </c>
      <c r="G254" s="5" t="s">
        <v>1291</v>
      </c>
      <c r="H254" s="5" t="s">
        <v>1292</v>
      </c>
      <c r="I254" s="5" t="s">
        <v>24</v>
      </c>
      <c r="J254" s="5" t="s">
        <v>29</v>
      </c>
      <c r="K254" s="5" t="s">
        <v>1293</v>
      </c>
      <c r="L254" s="5" t="s">
        <v>1210</v>
      </c>
      <c r="M254" s="5" t="s">
        <v>1276</v>
      </c>
      <c r="N254" s="5" t="s">
        <v>1294</v>
      </c>
      <c r="O254" s="1" t="s">
        <v>29</v>
      </c>
      <c r="P254" s="5" t="s">
        <v>30</v>
      </c>
      <c r="Q254" s="5"/>
    </row>
    <row r="255" customFormat="false" ht="15" hidden="false" customHeight="true" outlineLevel="0" collapsed="false">
      <c r="A255" s="5" t="n">
        <v>254</v>
      </c>
      <c r="B255" s="5" t="s">
        <v>17</v>
      </c>
      <c r="C255" s="5" t="s">
        <v>85</v>
      </c>
      <c r="D255" s="5" t="s">
        <v>1044</v>
      </c>
      <c r="E255" s="5" t="s">
        <v>1295</v>
      </c>
      <c r="F255" s="5" t="s">
        <v>1296</v>
      </c>
      <c r="G255" s="5" t="s">
        <v>1297</v>
      </c>
      <c r="H255" s="5" t="s">
        <v>1298</v>
      </c>
      <c r="I255" s="5" t="s">
        <v>24</v>
      </c>
      <c r="J255" s="5" t="s">
        <v>29</v>
      </c>
      <c r="K255" s="5" t="s">
        <v>1299</v>
      </c>
      <c r="L255" s="5" t="s">
        <v>1210</v>
      </c>
      <c r="M255" s="5" t="s">
        <v>1300</v>
      </c>
      <c r="N255" s="5" t="s">
        <v>1301</v>
      </c>
      <c r="O255" s="1" t="s">
        <v>29</v>
      </c>
      <c r="P255" s="5" t="s">
        <v>30</v>
      </c>
      <c r="Q255" s="5"/>
    </row>
    <row r="256" customFormat="false" ht="15" hidden="false" customHeight="true" outlineLevel="0" collapsed="false">
      <c r="A256" s="5" t="n">
        <v>255</v>
      </c>
      <c r="B256" s="5" t="s">
        <v>17</v>
      </c>
      <c r="C256" s="5" t="s">
        <v>1302</v>
      </c>
      <c r="D256" s="5" t="s">
        <v>1303</v>
      </c>
      <c r="E256" s="5" t="s">
        <v>1304</v>
      </c>
      <c r="F256" s="5" t="s">
        <v>1305</v>
      </c>
      <c r="G256" s="5" t="s">
        <v>1306</v>
      </c>
      <c r="H256" s="5" t="s">
        <v>1307</v>
      </c>
      <c r="I256" s="5" t="s">
        <v>24</v>
      </c>
      <c r="J256" s="5" t="s">
        <v>29</v>
      </c>
      <c r="K256" s="5" t="s">
        <v>1308</v>
      </c>
      <c r="L256" s="5" t="s">
        <v>1210</v>
      </c>
      <c r="M256" s="5" t="s">
        <v>1309</v>
      </c>
      <c r="N256" s="5" t="s">
        <v>1310</v>
      </c>
      <c r="O256" s="1" t="s">
        <v>29</v>
      </c>
      <c r="P256" s="5" t="s">
        <v>30</v>
      </c>
      <c r="Q256" s="5"/>
    </row>
    <row r="257" customFormat="false" ht="15" hidden="false" customHeight="true" outlineLevel="0" collapsed="false">
      <c r="A257" s="5" t="n">
        <v>256</v>
      </c>
      <c r="B257" s="5" t="s">
        <v>17</v>
      </c>
      <c r="C257" s="5" t="s">
        <v>1302</v>
      </c>
      <c r="D257" s="5" t="s">
        <v>1044</v>
      </c>
      <c r="E257" s="5" t="s">
        <v>1311</v>
      </c>
      <c r="F257" s="5" t="s">
        <v>1312</v>
      </c>
      <c r="G257" s="5" t="s">
        <v>1313</v>
      </c>
      <c r="H257" s="5" t="s">
        <v>1314</v>
      </c>
      <c r="I257" s="5" t="s">
        <v>24</v>
      </c>
      <c r="J257" s="5" t="s">
        <v>29</v>
      </c>
      <c r="K257" s="5" t="s">
        <v>1315</v>
      </c>
      <c r="L257" s="5" t="s">
        <v>1210</v>
      </c>
      <c r="M257" s="5" t="s">
        <v>1316</v>
      </c>
      <c r="N257" s="5" t="s">
        <v>1317</v>
      </c>
      <c r="O257" s="1" t="s">
        <v>29</v>
      </c>
      <c r="P257" s="5" t="s">
        <v>30</v>
      </c>
      <c r="Q257" s="5"/>
    </row>
    <row r="258" customFormat="false" ht="15" hidden="false" customHeight="true" outlineLevel="0" collapsed="false">
      <c r="A258" s="5" t="n">
        <v>257</v>
      </c>
      <c r="B258" s="5" t="s">
        <v>17</v>
      </c>
      <c r="C258" s="5" t="s">
        <v>1302</v>
      </c>
      <c r="D258" s="5" t="s">
        <v>1213</v>
      </c>
      <c r="E258" s="5" t="s">
        <v>1318</v>
      </c>
      <c r="F258" s="5" t="s">
        <v>1319</v>
      </c>
      <c r="G258" s="5" t="s">
        <v>1320</v>
      </c>
      <c r="H258" s="5" t="s">
        <v>1321</v>
      </c>
      <c r="I258" s="5" t="s">
        <v>24</v>
      </c>
      <c r="J258" s="5" t="s">
        <v>29</v>
      </c>
      <c r="K258" s="5" t="s">
        <v>1322</v>
      </c>
      <c r="L258" s="5" t="s">
        <v>1210</v>
      </c>
      <c r="M258" s="5" t="s">
        <v>1323</v>
      </c>
      <c r="N258" s="5" t="s">
        <v>1324</v>
      </c>
      <c r="O258" s="1" t="s">
        <v>29</v>
      </c>
      <c r="P258" s="5" t="s">
        <v>30</v>
      </c>
      <c r="Q258" s="5"/>
    </row>
    <row r="259" customFormat="false" ht="15" hidden="false" customHeight="true" outlineLevel="0" collapsed="false">
      <c r="A259" s="5" t="n">
        <v>258</v>
      </c>
      <c r="B259" s="5" t="s">
        <v>17</v>
      </c>
      <c r="C259" s="5" t="s">
        <v>92</v>
      </c>
      <c r="D259" s="5" t="s">
        <v>1236</v>
      </c>
      <c r="E259" s="5" t="s">
        <v>1325</v>
      </c>
      <c r="F259" s="5" t="s">
        <v>1326</v>
      </c>
      <c r="G259" s="5" t="s">
        <v>1327</v>
      </c>
      <c r="H259" s="5" t="s">
        <v>1328</v>
      </c>
      <c r="I259" s="5" t="s">
        <v>24</v>
      </c>
      <c r="J259" s="5" t="s">
        <v>29</v>
      </c>
      <c r="K259" s="5" t="s">
        <v>1329</v>
      </c>
      <c r="L259" s="5" t="s">
        <v>1210</v>
      </c>
      <c r="M259" s="5" t="s">
        <v>1330</v>
      </c>
      <c r="N259" s="5" t="s">
        <v>1331</v>
      </c>
      <c r="O259" s="1" t="s">
        <v>29</v>
      </c>
      <c r="P259" s="5" t="s">
        <v>30</v>
      </c>
      <c r="Q259" s="5"/>
    </row>
    <row r="260" customFormat="false" ht="15" hidden="false" customHeight="true" outlineLevel="0" collapsed="false">
      <c r="A260" s="5" t="n">
        <v>259</v>
      </c>
      <c r="B260" s="5" t="s">
        <v>17</v>
      </c>
      <c r="C260" s="5" t="s">
        <v>92</v>
      </c>
      <c r="D260" s="5" t="s">
        <v>1213</v>
      </c>
      <c r="E260" s="5" t="s">
        <v>1332</v>
      </c>
      <c r="F260" s="5" t="s">
        <v>1333</v>
      </c>
      <c r="G260" s="5" t="s">
        <v>1333</v>
      </c>
      <c r="H260" s="5" t="s">
        <v>1334</v>
      </c>
      <c r="I260" s="5" t="s">
        <v>24</v>
      </c>
      <c r="J260" s="5" t="s">
        <v>29</v>
      </c>
      <c r="K260" s="5" t="s">
        <v>1335</v>
      </c>
      <c r="L260" s="5" t="s">
        <v>1210</v>
      </c>
      <c r="M260" s="5" t="s">
        <v>1336</v>
      </c>
      <c r="N260" s="5" t="s">
        <v>1337</v>
      </c>
      <c r="O260" s="1" t="s">
        <v>29</v>
      </c>
      <c r="P260" s="5" t="s">
        <v>30</v>
      </c>
      <c r="Q260" s="5"/>
    </row>
    <row r="261" customFormat="false" ht="15" hidden="false" customHeight="true" outlineLevel="0" collapsed="false">
      <c r="A261" s="5" t="n">
        <v>260</v>
      </c>
      <c r="B261" s="5" t="s">
        <v>17</v>
      </c>
      <c r="C261" s="5" t="s">
        <v>584</v>
      </c>
      <c r="D261" s="5" t="s">
        <v>1236</v>
      </c>
      <c r="E261" s="5" t="s">
        <v>1338</v>
      </c>
      <c r="F261" s="5" t="s">
        <v>1339</v>
      </c>
      <c r="G261" s="5" t="s">
        <v>1340</v>
      </c>
      <c r="H261" s="5" t="s">
        <v>1341</v>
      </c>
      <c r="I261" s="5" t="s">
        <v>24</v>
      </c>
      <c r="J261" s="5" t="s">
        <v>29</v>
      </c>
      <c r="K261" s="5" t="s">
        <v>1342</v>
      </c>
      <c r="L261" s="5" t="s">
        <v>1210</v>
      </c>
      <c r="M261" s="5" t="s">
        <v>1343</v>
      </c>
      <c r="N261" s="5" t="s">
        <v>1344</v>
      </c>
      <c r="O261" s="1" t="s">
        <v>29</v>
      </c>
      <c r="P261" s="5" t="s">
        <v>30</v>
      </c>
      <c r="Q261" s="5"/>
    </row>
    <row r="262" customFormat="false" ht="15" hidden="false" customHeight="true" outlineLevel="0" collapsed="false">
      <c r="A262" s="5" t="n">
        <v>261</v>
      </c>
      <c r="B262" s="5" t="s">
        <v>17</v>
      </c>
      <c r="C262" s="5" t="s">
        <v>584</v>
      </c>
      <c r="D262" s="5" t="s">
        <v>1236</v>
      </c>
      <c r="E262" s="5" t="s">
        <v>1345</v>
      </c>
      <c r="F262" s="5" t="s">
        <v>1346</v>
      </c>
      <c r="G262" s="5" t="s">
        <v>1346</v>
      </c>
      <c r="H262" s="5" t="s">
        <v>1347</v>
      </c>
      <c r="I262" s="5" t="s">
        <v>24</v>
      </c>
      <c r="J262" s="5" t="s">
        <v>29</v>
      </c>
      <c r="K262" s="5" t="s">
        <v>1348</v>
      </c>
      <c r="L262" s="5" t="s">
        <v>1210</v>
      </c>
      <c r="M262" s="5" t="s">
        <v>1349</v>
      </c>
      <c r="N262" s="5" t="s">
        <v>1350</v>
      </c>
      <c r="O262" s="1" t="s">
        <v>29</v>
      </c>
      <c r="P262" s="5" t="s">
        <v>30</v>
      </c>
      <c r="Q262" s="5"/>
    </row>
    <row r="263" customFormat="false" ht="15" hidden="false" customHeight="true" outlineLevel="0" collapsed="false">
      <c r="A263" s="5" t="n">
        <v>262</v>
      </c>
      <c r="B263" s="5" t="s">
        <v>17</v>
      </c>
      <c r="C263" s="5" t="s">
        <v>584</v>
      </c>
      <c r="D263" s="5" t="s">
        <v>1303</v>
      </c>
      <c r="E263" s="5" t="s">
        <v>1351</v>
      </c>
      <c r="F263" s="5" t="s">
        <v>1352</v>
      </c>
      <c r="G263" s="5" t="s">
        <v>1353</v>
      </c>
      <c r="H263" s="5" t="s">
        <v>1354</v>
      </c>
      <c r="I263" s="5" t="s">
        <v>24</v>
      </c>
      <c r="J263" s="5" t="s">
        <v>29</v>
      </c>
      <c r="K263" s="5" t="s">
        <v>1355</v>
      </c>
      <c r="L263" s="5" t="s">
        <v>1210</v>
      </c>
      <c r="M263" s="5" t="s">
        <v>1356</v>
      </c>
      <c r="N263" s="5" t="s">
        <v>1357</v>
      </c>
      <c r="O263" s="1" t="s">
        <v>29</v>
      </c>
      <c r="P263" s="5" t="s">
        <v>30</v>
      </c>
      <c r="Q263" s="5"/>
    </row>
    <row r="264" customFormat="false" ht="15" hidden="false" customHeight="true" outlineLevel="0" collapsed="false">
      <c r="A264" s="5" t="n">
        <v>263</v>
      </c>
      <c r="B264" s="5" t="s">
        <v>17</v>
      </c>
      <c r="C264" s="5" t="s">
        <v>584</v>
      </c>
      <c r="D264" s="5" t="s">
        <v>1213</v>
      </c>
      <c r="E264" s="5" t="s">
        <v>1358</v>
      </c>
      <c r="F264" s="5" t="s">
        <v>1359</v>
      </c>
      <c r="G264" s="5" t="s">
        <v>1360</v>
      </c>
      <c r="H264" s="5" t="s">
        <v>1361</v>
      </c>
      <c r="I264" s="5" t="s">
        <v>24</v>
      </c>
      <c r="J264" s="5" t="s">
        <v>29</v>
      </c>
      <c r="K264" s="5" t="s">
        <v>1362</v>
      </c>
      <c r="L264" s="5" t="s">
        <v>1210</v>
      </c>
      <c r="M264" s="5" t="s">
        <v>1363</v>
      </c>
      <c r="N264" s="5" t="s">
        <v>1364</v>
      </c>
      <c r="O264" s="1" t="s">
        <v>29</v>
      </c>
      <c r="P264" s="5" t="s">
        <v>30</v>
      </c>
      <c r="Q264" s="5"/>
    </row>
    <row r="265" customFormat="false" ht="15" hidden="false" customHeight="true" outlineLevel="0" collapsed="false">
      <c r="A265" s="5" t="n">
        <v>264</v>
      </c>
      <c r="B265" s="5" t="s">
        <v>17</v>
      </c>
      <c r="C265" s="5" t="s">
        <v>1365</v>
      </c>
      <c r="D265" s="5" t="s">
        <v>1044</v>
      </c>
      <c r="E265" s="5" t="s">
        <v>393</v>
      </c>
      <c r="F265" s="5" t="s">
        <v>1366</v>
      </c>
      <c r="G265" s="5" t="s">
        <v>1367</v>
      </c>
      <c r="H265" s="5" t="s">
        <v>1368</v>
      </c>
      <c r="I265" s="5" t="s">
        <v>24</v>
      </c>
      <c r="J265" s="5" t="s">
        <v>29</v>
      </c>
      <c r="K265" s="5" t="s">
        <v>1369</v>
      </c>
      <c r="L265" s="5" t="s">
        <v>1210</v>
      </c>
      <c r="M265" s="5" t="s">
        <v>1370</v>
      </c>
      <c r="N265" s="5" t="s">
        <v>1371</v>
      </c>
      <c r="O265" s="1" t="s">
        <v>29</v>
      </c>
      <c r="P265" s="5" t="s">
        <v>853</v>
      </c>
      <c r="Q265" s="5" t="s">
        <v>854</v>
      </c>
    </row>
    <row r="266" customFormat="false" ht="15" hidden="false" customHeight="true" outlineLevel="0" collapsed="false">
      <c r="A266" s="5" t="n">
        <v>265</v>
      </c>
      <c r="B266" s="5" t="s">
        <v>17</v>
      </c>
      <c r="C266" s="5" t="s">
        <v>1365</v>
      </c>
      <c r="D266" s="5" t="s">
        <v>1213</v>
      </c>
      <c r="E266" s="5" t="s">
        <v>1372</v>
      </c>
      <c r="F266" s="5" t="s">
        <v>1373</v>
      </c>
      <c r="G266" s="5" t="s">
        <v>1374</v>
      </c>
      <c r="H266" s="5" t="s">
        <v>1375</v>
      </c>
      <c r="I266" s="5" t="s">
        <v>24</v>
      </c>
      <c r="J266" s="5" t="s">
        <v>29</v>
      </c>
      <c r="K266" s="5" t="s">
        <v>1376</v>
      </c>
      <c r="L266" s="5" t="s">
        <v>1210</v>
      </c>
      <c r="M266" s="5" t="s">
        <v>1377</v>
      </c>
      <c r="N266" s="5" t="s">
        <v>1378</v>
      </c>
      <c r="O266" s="1" t="s">
        <v>29</v>
      </c>
      <c r="P266" s="5" t="s">
        <v>30</v>
      </c>
      <c r="Q266" s="5"/>
    </row>
    <row r="267" customFormat="false" ht="15" hidden="false" customHeight="true" outlineLevel="0" collapsed="false">
      <c r="A267" s="5" t="n">
        <v>266</v>
      </c>
      <c r="B267" s="5" t="s">
        <v>17</v>
      </c>
      <c r="C267" s="5" t="s">
        <v>1379</v>
      </c>
      <c r="D267" s="5" t="s">
        <v>1236</v>
      </c>
      <c r="E267" s="5" t="s">
        <v>1380</v>
      </c>
      <c r="F267" s="5" t="s">
        <v>1381</v>
      </c>
      <c r="G267" s="5" t="s">
        <v>1382</v>
      </c>
      <c r="H267" s="5" t="s">
        <v>1383</v>
      </c>
      <c r="I267" s="5" t="s">
        <v>24</v>
      </c>
      <c r="J267" s="5" t="s">
        <v>29</v>
      </c>
      <c r="K267" s="5" t="s">
        <v>1384</v>
      </c>
      <c r="L267" s="5" t="s">
        <v>1210</v>
      </c>
      <c r="M267" s="5" t="s">
        <v>1385</v>
      </c>
      <c r="N267" s="5" t="s">
        <v>1386</v>
      </c>
      <c r="O267" s="1" t="s">
        <v>29</v>
      </c>
      <c r="P267" s="5" t="s">
        <v>30</v>
      </c>
      <c r="Q267" s="5"/>
    </row>
    <row r="268" customFormat="false" ht="15" hidden="false" customHeight="true" outlineLevel="0" collapsed="false">
      <c r="A268" s="5" t="n">
        <v>267</v>
      </c>
      <c r="B268" s="5" t="s">
        <v>17</v>
      </c>
      <c r="C268" s="5" t="s">
        <v>1379</v>
      </c>
      <c r="D268" s="5" t="s">
        <v>1303</v>
      </c>
      <c r="E268" s="5" t="s">
        <v>400</v>
      </c>
      <c r="F268" s="5" t="s">
        <v>1387</v>
      </c>
      <c r="G268" s="5" t="s">
        <v>1388</v>
      </c>
      <c r="H268" s="5" t="s">
        <v>1389</v>
      </c>
      <c r="I268" s="5" t="s">
        <v>24</v>
      </c>
      <c r="J268" s="5" t="s">
        <v>29</v>
      </c>
      <c r="K268" s="5" t="s">
        <v>1390</v>
      </c>
      <c r="L268" s="5" t="s">
        <v>1210</v>
      </c>
      <c r="M268" s="5" t="s">
        <v>1391</v>
      </c>
      <c r="N268" s="5" t="s">
        <v>1392</v>
      </c>
      <c r="O268" s="1" t="s">
        <v>29</v>
      </c>
      <c r="P268" s="5" t="s">
        <v>30</v>
      </c>
      <c r="Q268" s="5"/>
    </row>
    <row r="269" customFormat="false" ht="15" hidden="false" customHeight="true" outlineLevel="0" collapsed="false">
      <c r="A269" s="5" t="n">
        <v>268</v>
      </c>
      <c r="B269" s="5" t="s">
        <v>17</v>
      </c>
      <c r="C269" s="5" t="s">
        <v>1379</v>
      </c>
      <c r="D269" s="5" t="s">
        <v>1044</v>
      </c>
      <c r="E269" s="5" t="s">
        <v>1393</v>
      </c>
      <c r="F269" s="5" t="s">
        <v>1394</v>
      </c>
      <c r="G269" s="5" t="s">
        <v>1395</v>
      </c>
      <c r="H269" s="5" t="s">
        <v>1396</v>
      </c>
      <c r="I269" s="5" t="s">
        <v>24</v>
      </c>
      <c r="J269" s="5" t="s">
        <v>29</v>
      </c>
      <c r="K269" s="5" t="s">
        <v>1397</v>
      </c>
      <c r="L269" s="5" t="s">
        <v>1210</v>
      </c>
      <c r="M269" s="5" t="s">
        <v>1398</v>
      </c>
      <c r="N269" s="5" t="s">
        <v>1399</v>
      </c>
      <c r="O269" s="1" t="s">
        <v>29</v>
      </c>
      <c r="P269" s="5" t="s">
        <v>30</v>
      </c>
      <c r="Q269" s="5"/>
    </row>
    <row r="270" customFormat="false" ht="15" hidden="false" customHeight="true" outlineLevel="0" collapsed="false">
      <c r="A270" s="5" t="n">
        <v>269</v>
      </c>
      <c r="B270" s="5" t="s">
        <v>17</v>
      </c>
      <c r="C270" s="5" t="s">
        <v>1379</v>
      </c>
      <c r="D270" s="5" t="s">
        <v>1044</v>
      </c>
      <c r="E270" s="5" t="s">
        <v>1400</v>
      </c>
      <c r="F270" s="5" t="s">
        <v>1401</v>
      </c>
      <c r="G270" s="5" t="s">
        <v>1402</v>
      </c>
      <c r="H270" s="5" t="s">
        <v>1403</v>
      </c>
      <c r="I270" s="5" t="s">
        <v>24</v>
      </c>
      <c r="J270" s="5" t="s">
        <v>29</v>
      </c>
      <c r="K270" s="5" t="s">
        <v>1404</v>
      </c>
      <c r="L270" s="5" t="s">
        <v>1210</v>
      </c>
      <c r="M270" s="5" t="s">
        <v>1405</v>
      </c>
      <c r="N270" s="5" t="s">
        <v>1406</v>
      </c>
      <c r="O270" s="1" t="s">
        <v>29</v>
      </c>
      <c r="P270" s="5" t="s">
        <v>30</v>
      </c>
      <c r="Q270" s="5"/>
    </row>
    <row r="271" customFormat="false" ht="15" hidden="false" customHeight="true" outlineLevel="0" collapsed="false">
      <c r="A271" s="5" t="n">
        <v>270</v>
      </c>
      <c r="B271" s="5" t="s">
        <v>17</v>
      </c>
      <c r="C271" s="5" t="s">
        <v>1379</v>
      </c>
      <c r="D271" s="5" t="s">
        <v>1213</v>
      </c>
      <c r="E271" s="5" t="s">
        <v>1407</v>
      </c>
      <c r="F271" s="5" t="s">
        <v>1408</v>
      </c>
      <c r="G271" s="5" t="s">
        <v>1409</v>
      </c>
      <c r="H271" s="5" t="s">
        <v>1410</v>
      </c>
      <c r="I271" s="5" t="s">
        <v>24</v>
      </c>
      <c r="J271" s="5" t="s">
        <v>29</v>
      </c>
      <c r="K271" s="5" t="s">
        <v>1411</v>
      </c>
      <c r="L271" s="5" t="s">
        <v>1210</v>
      </c>
      <c r="M271" s="5" t="s">
        <v>1412</v>
      </c>
      <c r="N271" s="5" t="s">
        <v>1413</v>
      </c>
      <c r="O271" s="1" t="s">
        <v>29</v>
      </c>
      <c r="P271" s="5" t="s">
        <v>30</v>
      </c>
      <c r="Q271" s="5"/>
    </row>
    <row r="272" customFormat="false" ht="15" hidden="false" customHeight="true" outlineLevel="0" collapsed="false">
      <c r="A272" s="5" t="n">
        <v>271</v>
      </c>
      <c r="B272" s="5" t="s">
        <v>17</v>
      </c>
      <c r="C272" s="5" t="s">
        <v>301</v>
      </c>
      <c r="D272" s="5" t="s">
        <v>1044</v>
      </c>
      <c r="E272" s="5" t="s">
        <v>396</v>
      </c>
      <c r="F272" s="5" t="s">
        <v>1381</v>
      </c>
      <c r="G272" s="5" t="s">
        <v>1414</v>
      </c>
      <c r="H272" s="5" t="s">
        <v>1415</v>
      </c>
      <c r="I272" s="5" t="s">
        <v>24</v>
      </c>
      <c r="J272" s="5" t="s">
        <v>29</v>
      </c>
      <c r="K272" s="5" t="s">
        <v>1416</v>
      </c>
      <c r="L272" s="5" t="s">
        <v>1210</v>
      </c>
      <c r="M272" s="5" t="s">
        <v>1417</v>
      </c>
      <c r="N272" s="5" t="s">
        <v>1418</v>
      </c>
      <c r="O272" s="1" t="s">
        <v>29</v>
      </c>
      <c r="P272" s="5" t="s">
        <v>30</v>
      </c>
      <c r="Q272" s="5"/>
    </row>
    <row r="273" customFormat="false" ht="15" hidden="false" customHeight="true" outlineLevel="0" collapsed="false">
      <c r="A273" s="5" t="n">
        <v>272</v>
      </c>
      <c r="B273" s="5" t="s">
        <v>17</v>
      </c>
      <c r="C273" s="5" t="s">
        <v>301</v>
      </c>
      <c r="D273" s="5" t="s">
        <v>1213</v>
      </c>
      <c r="E273" s="5" t="s">
        <v>1419</v>
      </c>
      <c r="F273" s="5" t="s">
        <v>1230</v>
      </c>
      <c r="G273" s="5" t="s">
        <v>1420</v>
      </c>
      <c r="H273" s="5" t="s">
        <v>1421</v>
      </c>
      <c r="I273" s="5" t="s">
        <v>24</v>
      </c>
      <c r="J273" s="5" t="s">
        <v>29</v>
      </c>
      <c r="K273" s="5" t="s">
        <v>1422</v>
      </c>
      <c r="L273" s="5" t="s">
        <v>1210</v>
      </c>
      <c r="M273" s="5" t="s">
        <v>1423</v>
      </c>
      <c r="N273" s="5" t="s">
        <v>1424</v>
      </c>
      <c r="O273" s="1" t="s">
        <v>29</v>
      </c>
      <c r="P273" s="5" t="s">
        <v>30</v>
      </c>
      <c r="Q273" s="5"/>
    </row>
    <row r="274" customFormat="false" ht="15" hidden="false" customHeight="true" outlineLevel="0" collapsed="false">
      <c r="A274" s="5" t="n">
        <v>273</v>
      </c>
      <c r="B274" s="5" t="s">
        <v>17</v>
      </c>
      <c r="C274" s="5" t="s">
        <v>31</v>
      </c>
      <c r="D274" s="5" t="s">
        <v>1236</v>
      </c>
      <c r="E274" s="5" t="s">
        <v>1425</v>
      </c>
      <c r="F274" s="5" t="s">
        <v>1426</v>
      </c>
      <c r="G274" s="5" t="s">
        <v>1427</v>
      </c>
      <c r="H274" s="5" t="s">
        <v>1428</v>
      </c>
      <c r="I274" s="5" t="s">
        <v>24</v>
      </c>
      <c r="J274" s="5" t="s">
        <v>29</v>
      </c>
      <c r="K274" s="5" t="s">
        <v>1429</v>
      </c>
      <c r="L274" s="5" t="s">
        <v>1210</v>
      </c>
      <c r="M274" s="5" t="s">
        <v>1430</v>
      </c>
      <c r="N274" s="5" t="s">
        <v>1431</v>
      </c>
      <c r="O274" s="1" t="s">
        <v>29</v>
      </c>
      <c r="P274" s="5" t="s">
        <v>30</v>
      </c>
      <c r="Q274" s="5"/>
    </row>
    <row r="275" customFormat="false" ht="15" hidden="false" customHeight="true" outlineLevel="0" collapsed="false">
      <c r="A275" s="5" t="n">
        <v>274</v>
      </c>
      <c r="B275" s="5" t="s">
        <v>17</v>
      </c>
      <c r="C275" s="5" t="s">
        <v>31</v>
      </c>
      <c r="D275" s="5" t="s">
        <v>1236</v>
      </c>
      <c r="E275" s="5" t="s">
        <v>1432</v>
      </c>
      <c r="F275" s="5" t="s">
        <v>1433</v>
      </c>
      <c r="G275" s="5" t="s">
        <v>1434</v>
      </c>
      <c r="H275" s="5" t="s">
        <v>1435</v>
      </c>
      <c r="I275" s="5" t="s">
        <v>24</v>
      </c>
      <c r="J275" s="5" t="s">
        <v>29</v>
      </c>
      <c r="K275" s="5" t="s">
        <v>1436</v>
      </c>
      <c r="L275" s="5" t="s">
        <v>1210</v>
      </c>
      <c r="M275" s="5" t="s">
        <v>1437</v>
      </c>
      <c r="N275" s="5" t="s">
        <v>1438</v>
      </c>
      <c r="O275" s="1" t="s">
        <v>29</v>
      </c>
      <c r="P275" s="5" t="s">
        <v>30</v>
      </c>
      <c r="Q275" s="5"/>
    </row>
    <row r="276" customFormat="false" ht="15" hidden="false" customHeight="true" outlineLevel="0" collapsed="false">
      <c r="A276" s="5" t="n">
        <v>275</v>
      </c>
      <c r="B276" s="5" t="s">
        <v>17</v>
      </c>
      <c r="C276" s="5" t="s">
        <v>31</v>
      </c>
      <c r="D276" s="5" t="s">
        <v>1236</v>
      </c>
      <c r="E276" s="5" t="s">
        <v>1439</v>
      </c>
      <c r="F276" s="5" t="s">
        <v>1440</v>
      </c>
      <c r="G276" s="5" t="s">
        <v>1441</v>
      </c>
      <c r="H276" s="5" t="s">
        <v>1442</v>
      </c>
      <c r="I276" s="5" t="s">
        <v>24</v>
      </c>
      <c r="J276" s="5" t="s">
        <v>29</v>
      </c>
      <c r="K276" s="5" t="s">
        <v>1443</v>
      </c>
      <c r="L276" s="5" t="s">
        <v>1210</v>
      </c>
      <c r="M276" s="5" t="s">
        <v>1211</v>
      </c>
      <c r="N276" s="5" t="s">
        <v>1444</v>
      </c>
      <c r="O276" s="1" t="s">
        <v>29</v>
      </c>
      <c r="P276" s="5" t="s">
        <v>30</v>
      </c>
      <c r="Q276" s="5"/>
    </row>
    <row r="277" customFormat="false" ht="15" hidden="false" customHeight="true" outlineLevel="0" collapsed="false">
      <c r="A277" s="5" t="n">
        <v>276</v>
      </c>
      <c r="B277" s="5" t="s">
        <v>17</v>
      </c>
      <c r="C277" s="5" t="s">
        <v>31</v>
      </c>
      <c r="D277" s="5" t="s">
        <v>1236</v>
      </c>
      <c r="E277" s="5" t="s">
        <v>1445</v>
      </c>
      <c r="F277" s="5" t="s">
        <v>1446</v>
      </c>
      <c r="G277" s="5" t="s">
        <v>1447</v>
      </c>
      <c r="H277" s="5" t="s">
        <v>1448</v>
      </c>
      <c r="I277" s="5" t="s">
        <v>24</v>
      </c>
      <c r="J277" s="5" t="s">
        <v>29</v>
      </c>
      <c r="K277" s="5" t="s">
        <v>1449</v>
      </c>
      <c r="L277" s="5" t="s">
        <v>1210</v>
      </c>
      <c r="M277" s="5" t="s">
        <v>1450</v>
      </c>
      <c r="N277" s="5" t="s">
        <v>1451</v>
      </c>
      <c r="O277" s="1" t="s">
        <v>29</v>
      </c>
      <c r="P277" s="5" t="s">
        <v>30</v>
      </c>
      <c r="Q277" s="5"/>
    </row>
    <row r="278" customFormat="false" ht="15" hidden="false" customHeight="true" outlineLevel="0" collapsed="false">
      <c r="A278" s="5" t="n">
        <v>277</v>
      </c>
      <c r="B278" s="5" t="s">
        <v>17</v>
      </c>
      <c r="C278" s="5" t="s">
        <v>31</v>
      </c>
      <c r="D278" s="5" t="s">
        <v>1213</v>
      </c>
      <c r="E278" s="5" t="s">
        <v>1452</v>
      </c>
      <c r="F278" s="5" t="s">
        <v>1230</v>
      </c>
      <c r="G278" s="5" t="s">
        <v>1453</v>
      </c>
      <c r="H278" s="5" t="s">
        <v>1454</v>
      </c>
      <c r="I278" s="5" t="s">
        <v>24</v>
      </c>
      <c r="J278" s="5" t="s">
        <v>29</v>
      </c>
      <c r="K278" s="5" t="s">
        <v>1455</v>
      </c>
      <c r="L278" s="5" t="s">
        <v>1210</v>
      </c>
      <c r="M278" s="5" t="s">
        <v>1456</v>
      </c>
      <c r="N278" s="5" t="s">
        <v>1457</v>
      </c>
      <c r="O278" s="1" t="s">
        <v>29</v>
      </c>
      <c r="P278" s="5" t="s">
        <v>30</v>
      </c>
      <c r="Q278" s="5"/>
    </row>
    <row r="279" customFormat="false" ht="15" hidden="false" customHeight="true" outlineLevel="0" collapsed="false">
      <c r="A279" s="5" t="n">
        <v>278</v>
      </c>
      <c r="B279" s="5" t="s">
        <v>17</v>
      </c>
      <c r="C279" s="5" t="s">
        <v>39</v>
      </c>
      <c r="D279" s="5" t="s">
        <v>1044</v>
      </c>
      <c r="E279" s="5" t="s">
        <v>1458</v>
      </c>
      <c r="F279" s="5" t="s">
        <v>1459</v>
      </c>
      <c r="G279" s="5" t="s">
        <v>1460</v>
      </c>
      <c r="H279" s="5" t="s">
        <v>1461</v>
      </c>
      <c r="I279" s="5" t="s">
        <v>24</v>
      </c>
      <c r="J279" s="5" t="s">
        <v>29</v>
      </c>
      <c r="K279" s="5" t="s">
        <v>1462</v>
      </c>
      <c r="L279" s="5" t="s">
        <v>1210</v>
      </c>
      <c r="M279" s="5" t="s">
        <v>1463</v>
      </c>
      <c r="N279" s="5" t="s">
        <v>1464</v>
      </c>
      <c r="O279" s="1" t="s">
        <v>29</v>
      </c>
      <c r="P279" s="5" t="s">
        <v>30</v>
      </c>
      <c r="Q279" s="5"/>
    </row>
    <row r="280" customFormat="false" ht="15" hidden="false" customHeight="true" outlineLevel="0" collapsed="false">
      <c r="A280" s="5" t="n">
        <v>279</v>
      </c>
      <c r="B280" s="5" t="s">
        <v>17</v>
      </c>
      <c r="C280" s="5" t="s">
        <v>1465</v>
      </c>
      <c r="D280" s="5" t="s">
        <v>1236</v>
      </c>
      <c r="E280" s="5" t="s">
        <v>1466</v>
      </c>
      <c r="F280" s="5" t="s">
        <v>1467</v>
      </c>
      <c r="G280" s="5" t="s">
        <v>1468</v>
      </c>
      <c r="H280" s="5" t="s">
        <v>1469</v>
      </c>
      <c r="I280" s="5" t="s">
        <v>24</v>
      </c>
      <c r="J280" s="5" t="s">
        <v>29</v>
      </c>
      <c r="K280" s="5" t="s">
        <v>1470</v>
      </c>
      <c r="L280" s="5" t="s">
        <v>1210</v>
      </c>
      <c r="M280" s="5" t="s">
        <v>1471</v>
      </c>
      <c r="N280" s="5" t="s">
        <v>1472</v>
      </c>
      <c r="O280" s="1" t="s">
        <v>29</v>
      </c>
      <c r="P280" s="5" t="s">
        <v>30</v>
      </c>
      <c r="Q280" s="5"/>
    </row>
    <row r="281" customFormat="false" ht="15" hidden="false" customHeight="true" outlineLevel="0" collapsed="false">
      <c r="A281" s="5" t="n">
        <v>280</v>
      </c>
      <c r="B281" s="5" t="s">
        <v>17</v>
      </c>
      <c r="C281" s="5" t="s">
        <v>1465</v>
      </c>
      <c r="D281" s="5" t="s">
        <v>1303</v>
      </c>
      <c r="E281" s="5" t="s">
        <v>1473</v>
      </c>
      <c r="F281" s="5" t="s">
        <v>1474</v>
      </c>
      <c r="G281" s="5" t="s">
        <v>1475</v>
      </c>
      <c r="H281" s="5" t="s">
        <v>1476</v>
      </c>
      <c r="I281" s="5" t="s">
        <v>24</v>
      </c>
      <c r="J281" s="5" t="s">
        <v>29</v>
      </c>
      <c r="K281" s="5" t="s">
        <v>1477</v>
      </c>
      <c r="L281" s="5" t="s">
        <v>1210</v>
      </c>
      <c r="M281" s="5" t="s">
        <v>1478</v>
      </c>
      <c r="N281" s="5" t="s">
        <v>1479</v>
      </c>
      <c r="O281" s="1" t="s">
        <v>29</v>
      </c>
      <c r="P281" s="5" t="s">
        <v>30</v>
      </c>
      <c r="Q281" s="5"/>
    </row>
    <row r="282" customFormat="false" ht="15" hidden="false" customHeight="true" outlineLevel="0" collapsed="false">
      <c r="A282" s="5" t="n">
        <v>281</v>
      </c>
      <c r="B282" s="5" t="s">
        <v>17</v>
      </c>
      <c r="C282" s="5" t="s">
        <v>1465</v>
      </c>
      <c r="D282" s="5" t="s">
        <v>1213</v>
      </c>
      <c r="E282" s="5" t="s">
        <v>1480</v>
      </c>
      <c r="F282" s="5" t="s">
        <v>1230</v>
      </c>
      <c r="G282" s="5" t="s">
        <v>1481</v>
      </c>
      <c r="H282" s="5" t="s">
        <v>1482</v>
      </c>
      <c r="I282" s="5" t="s">
        <v>24</v>
      </c>
      <c r="J282" s="5" t="s">
        <v>29</v>
      </c>
      <c r="K282" s="5" t="s">
        <v>1483</v>
      </c>
      <c r="L282" s="5" t="s">
        <v>1210</v>
      </c>
      <c r="M282" s="5" t="s">
        <v>1484</v>
      </c>
      <c r="N282" s="5" t="s">
        <v>1485</v>
      </c>
      <c r="O282" s="1" t="s">
        <v>29</v>
      </c>
      <c r="P282" s="5" t="s">
        <v>30</v>
      </c>
      <c r="Q282" s="5"/>
    </row>
    <row r="283" customFormat="false" ht="15" hidden="false" customHeight="true" outlineLevel="0" collapsed="false">
      <c r="A283" s="5" t="n">
        <v>282</v>
      </c>
      <c r="B283" s="5" t="s">
        <v>17</v>
      </c>
      <c r="C283" s="5" t="s">
        <v>221</v>
      </c>
      <c r="D283" s="5" t="s">
        <v>1236</v>
      </c>
      <c r="E283" s="5" t="s">
        <v>1486</v>
      </c>
      <c r="F283" s="5" t="s">
        <v>1487</v>
      </c>
      <c r="G283" s="5" t="s">
        <v>1488</v>
      </c>
      <c r="H283" s="5" t="s">
        <v>1489</v>
      </c>
      <c r="I283" s="5" t="s">
        <v>24</v>
      </c>
      <c r="J283" s="5" t="s">
        <v>29</v>
      </c>
      <c r="K283" s="5" t="s">
        <v>1490</v>
      </c>
      <c r="L283" s="5" t="s">
        <v>1210</v>
      </c>
      <c r="M283" s="5" t="s">
        <v>1211</v>
      </c>
      <c r="N283" s="5" t="s">
        <v>1491</v>
      </c>
      <c r="O283" s="1" t="s">
        <v>29</v>
      </c>
      <c r="P283" s="5" t="s">
        <v>30</v>
      </c>
      <c r="Q283" s="5"/>
    </row>
    <row r="284" customFormat="false" ht="15" hidden="false" customHeight="true" outlineLevel="0" collapsed="false">
      <c r="A284" s="5" t="n">
        <v>283</v>
      </c>
      <c r="B284" s="5" t="s">
        <v>17</v>
      </c>
      <c r="C284" s="5" t="s">
        <v>221</v>
      </c>
      <c r="D284" s="5" t="s">
        <v>1236</v>
      </c>
      <c r="E284" s="5" t="s">
        <v>1492</v>
      </c>
      <c r="F284" s="5" t="s">
        <v>1493</v>
      </c>
      <c r="G284" s="5" t="s">
        <v>1494</v>
      </c>
      <c r="H284" s="5" t="s">
        <v>1495</v>
      </c>
      <c r="I284" s="5" t="s">
        <v>24</v>
      </c>
      <c r="J284" s="5" t="s">
        <v>29</v>
      </c>
      <c r="K284" s="5" t="s">
        <v>1496</v>
      </c>
      <c r="L284" s="5" t="s">
        <v>1210</v>
      </c>
      <c r="M284" s="5" t="s">
        <v>1497</v>
      </c>
      <c r="N284" s="5" t="s">
        <v>1498</v>
      </c>
      <c r="O284" s="1" t="s">
        <v>29</v>
      </c>
      <c r="P284" s="5" t="s">
        <v>922</v>
      </c>
      <c r="Q284" s="5" t="s">
        <v>1499</v>
      </c>
    </row>
    <row r="285" customFormat="false" ht="15" hidden="false" customHeight="true" outlineLevel="0" collapsed="false">
      <c r="A285" s="5" t="n">
        <v>284</v>
      </c>
      <c r="B285" s="5" t="s">
        <v>17</v>
      </c>
      <c r="C285" s="5" t="s">
        <v>221</v>
      </c>
      <c r="D285" s="5" t="s">
        <v>1303</v>
      </c>
      <c r="E285" s="5" t="s">
        <v>378</v>
      </c>
      <c r="F285" s="5" t="s">
        <v>1500</v>
      </c>
      <c r="G285" s="5" t="s">
        <v>1501</v>
      </c>
      <c r="H285" s="5" t="s">
        <v>1502</v>
      </c>
      <c r="I285" s="5" t="s">
        <v>24</v>
      </c>
      <c r="J285" s="5" t="s">
        <v>29</v>
      </c>
      <c r="K285" s="5" t="s">
        <v>1503</v>
      </c>
      <c r="L285" s="5" t="s">
        <v>1210</v>
      </c>
      <c r="M285" s="5" t="s">
        <v>1504</v>
      </c>
      <c r="N285" s="5" t="s">
        <v>1505</v>
      </c>
      <c r="O285" s="1" t="s">
        <v>29</v>
      </c>
      <c r="P285" s="5" t="s">
        <v>30</v>
      </c>
      <c r="Q285" s="5"/>
    </row>
    <row r="286" customFormat="false" ht="15" hidden="false" customHeight="true" outlineLevel="0" collapsed="false">
      <c r="A286" s="5" t="n">
        <v>285</v>
      </c>
      <c r="B286" s="5" t="s">
        <v>17</v>
      </c>
      <c r="C286" s="5" t="s">
        <v>221</v>
      </c>
      <c r="D286" s="5" t="s">
        <v>1044</v>
      </c>
      <c r="E286" s="5" t="s">
        <v>355</v>
      </c>
      <c r="F286" s="5" t="s">
        <v>1506</v>
      </c>
      <c r="G286" s="5" t="s">
        <v>1507</v>
      </c>
      <c r="H286" s="5" t="s">
        <v>1508</v>
      </c>
      <c r="I286" s="5" t="s">
        <v>24</v>
      </c>
      <c r="J286" s="5" t="s">
        <v>29</v>
      </c>
      <c r="K286" s="5" t="s">
        <v>1509</v>
      </c>
      <c r="L286" s="5" t="s">
        <v>1210</v>
      </c>
      <c r="M286" s="5" t="s">
        <v>1510</v>
      </c>
      <c r="N286" s="5" t="s">
        <v>1511</v>
      </c>
      <c r="O286" s="1" t="s">
        <v>29</v>
      </c>
      <c r="P286" s="5" t="s">
        <v>30</v>
      </c>
      <c r="Q286" s="5"/>
    </row>
    <row r="287" customFormat="false" ht="15" hidden="false" customHeight="true" outlineLevel="0" collapsed="false">
      <c r="A287" s="5" t="n">
        <v>286</v>
      </c>
      <c r="B287" s="5" t="s">
        <v>17</v>
      </c>
      <c r="C287" s="5" t="s">
        <v>221</v>
      </c>
      <c r="D287" s="5" t="s">
        <v>1044</v>
      </c>
      <c r="E287" s="5" t="s">
        <v>1512</v>
      </c>
      <c r="F287" s="5" t="s">
        <v>1513</v>
      </c>
      <c r="G287" s="5" t="s">
        <v>1514</v>
      </c>
      <c r="H287" s="5" t="s">
        <v>1515</v>
      </c>
      <c r="I287" s="5" t="s">
        <v>24</v>
      </c>
      <c r="J287" s="5" t="s">
        <v>29</v>
      </c>
      <c r="K287" s="5" t="s">
        <v>1516</v>
      </c>
      <c r="L287" s="5" t="s">
        <v>1210</v>
      </c>
      <c r="M287" s="5" t="s">
        <v>1517</v>
      </c>
      <c r="N287" s="5" t="s">
        <v>1518</v>
      </c>
      <c r="O287" s="1" t="s">
        <v>29</v>
      </c>
      <c r="P287" s="5" t="s">
        <v>30</v>
      </c>
      <c r="Q287" s="5"/>
    </row>
    <row r="288" customFormat="false" ht="15" hidden="false" customHeight="true" outlineLevel="0" collapsed="false">
      <c r="A288" s="5" t="n">
        <v>287</v>
      </c>
      <c r="B288" s="5" t="s">
        <v>17</v>
      </c>
      <c r="C288" s="5" t="s">
        <v>221</v>
      </c>
      <c r="D288" s="5" t="s">
        <v>1213</v>
      </c>
      <c r="E288" s="5" t="s">
        <v>1519</v>
      </c>
      <c r="F288" s="5" t="s">
        <v>1520</v>
      </c>
      <c r="G288" s="5" t="s">
        <v>1521</v>
      </c>
      <c r="H288" s="5" t="s">
        <v>1522</v>
      </c>
      <c r="I288" s="5" t="s">
        <v>24</v>
      </c>
      <c r="J288" s="5" t="s">
        <v>29</v>
      </c>
      <c r="K288" s="5" t="s">
        <v>1523</v>
      </c>
      <c r="L288" s="5" t="s">
        <v>1210</v>
      </c>
      <c r="M288" s="5" t="s">
        <v>1524</v>
      </c>
      <c r="N288" s="5" t="s">
        <v>1525</v>
      </c>
      <c r="O288" s="1" t="s">
        <v>29</v>
      </c>
      <c r="P288" s="5" t="s">
        <v>30</v>
      </c>
      <c r="Q288" s="5"/>
    </row>
    <row r="289" customFormat="false" ht="15" hidden="false" customHeight="true" outlineLevel="0" collapsed="false">
      <c r="A289" s="5" t="n">
        <v>288</v>
      </c>
      <c r="B289" s="5" t="s">
        <v>17</v>
      </c>
      <c r="C289" s="5" t="s">
        <v>1526</v>
      </c>
      <c r="D289" s="5" t="s">
        <v>1213</v>
      </c>
      <c r="E289" s="5" t="s">
        <v>1527</v>
      </c>
      <c r="F289" s="5" t="s">
        <v>1230</v>
      </c>
      <c r="G289" s="5" t="s">
        <v>1528</v>
      </c>
      <c r="H289" s="5" t="s">
        <v>1529</v>
      </c>
      <c r="I289" s="5" t="s">
        <v>24</v>
      </c>
      <c r="J289" s="5" t="s">
        <v>29</v>
      </c>
      <c r="K289" s="5" t="s">
        <v>1530</v>
      </c>
      <c r="L289" s="5" t="s">
        <v>1210</v>
      </c>
      <c r="M289" s="5" t="s">
        <v>1531</v>
      </c>
      <c r="N289" s="5" t="s">
        <v>1532</v>
      </c>
      <c r="O289" s="1" t="s">
        <v>29</v>
      </c>
      <c r="P289" s="5" t="s">
        <v>853</v>
      </c>
      <c r="Q289" s="5" t="s">
        <v>854</v>
      </c>
    </row>
    <row r="290" customFormat="false" ht="15" hidden="false" customHeight="true" outlineLevel="0" collapsed="false">
      <c r="A290" s="5" t="n">
        <v>289</v>
      </c>
      <c r="B290" s="5" t="s">
        <v>17</v>
      </c>
      <c r="C290" s="5" t="s">
        <v>1533</v>
      </c>
      <c r="D290" s="5" t="s">
        <v>1303</v>
      </c>
      <c r="E290" s="5" t="s">
        <v>1534</v>
      </c>
      <c r="F290" s="5" t="s">
        <v>1535</v>
      </c>
      <c r="G290" s="5" t="s">
        <v>1536</v>
      </c>
      <c r="H290" s="5" t="s">
        <v>1537</v>
      </c>
      <c r="I290" s="5" t="s">
        <v>24</v>
      </c>
      <c r="J290" s="5" t="s">
        <v>29</v>
      </c>
      <c r="K290" s="5" t="s">
        <v>1538</v>
      </c>
      <c r="L290" s="5" t="s">
        <v>1210</v>
      </c>
      <c r="M290" s="5" t="s">
        <v>1539</v>
      </c>
      <c r="N290" s="5" t="s">
        <v>1540</v>
      </c>
      <c r="O290" s="1" t="s">
        <v>29</v>
      </c>
      <c r="P290" s="5" t="s">
        <v>30</v>
      </c>
      <c r="Q290" s="5"/>
    </row>
    <row r="291" customFormat="false" ht="15" hidden="false" customHeight="true" outlineLevel="0" collapsed="false">
      <c r="A291" s="5" t="n">
        <v>290</v>
      </c>
      <c r="B291" s="5" t="s">
        <v>17</v>
      </c>
      <c r="C291" s="5" t="s">
        <v>1533</v>
      </c>
      <c r="D291" s="5" t="s">
        <v>1213</v>
      </c>
      <c r="E291" s="5" t="s">
        <v>1541</v>
      </c>
      <c r="F291" s="5" t="s">
        <v>1542</v>
      </c>
      <c r="G291" s="5" t="s">
        <v>1543</v>
      </c>
      <c r="H291" s="5" t="s">
        <v>1544</v>
      </c>
      <c r="I291" s="5" t="s">
        <v>24</v>
      </c>
      <c r="J291" s="5" t="s">
        <v>29</v>
      </c>
      <c r="K291" s="5" t="s">
        <v>1545</v>
      </c>
      <c r="L291" s="5" t="s">
        <v>1210</v>
      </c>
      <c r="M291" s="5" t="s">
        <v>1546</v>
      </c>
      <c r="N291" s="5" t="s">
        <v>1547</v>
      </c>
      <c r="O291" s="1" t="s">
        <v>29</v>
      </c>
      <c r="P291" s="5" t="s">
        <v>30</v>
      </c>
      <c r="Q291" s="5"/>
    </row>
    <row r="292" customFormat="false" ht="15" hidden="false" customHeight="true" outlineLevel="0" collapsed="false">
      <c r="A292" s="5" t="n">
        <v>291</v>
      </c>
      <c r="B292" s="5" t="s">
        <v>17</v>
      </c>
      <c r="C292" s="5" t="s">
        <v>1548</v>
      </c>
      <c r="D292" s="5" t="s">
        <v>1236</v>
      </c>
      <c r="E292" s="5" t="s">
        <v>1549</v>
      </c>
      <c r="F292" s="5" t="s">
        <v>1550</v>
      </c>
      <c r="G292" s="5" t="s">
        <v>1551</v>
      </c>
      <c r="H292" s="5" t="s">
        <v>1552</v>
      </c>
      <c r="I292" s="5" t="s">
        <v>24</v>
      </c>
      <c r="J292" s="5" t="s">
        <v>29</v>
      </c>
      <c r="K292" s="5" t="s">
        <v>1553</v>
      </c>
      <c r="L292" s="5" t="s">
        <v>1210</v>
      </c>
      <c r="M292" s="5" t="s">
        <v>1554</v>
      </c>
      <c r="N292" s="5" t="s">
        <v>1555</v>
      </c>
      <c r="O292" s="1" t="s">
        <v>29</v>
      </c>
      <c r="P292" s="5" t="s">
        <v>30</v>
      </c>
      <c r="Q292" s="5"/>
    </row>
    <row r="293" customFormat="false" ht="15" hidden="false" customHeight="true" outlineLevel="0" collapsed="false">
      <c r="A293" s="5" t="n">
        <v>292</v>
      </c>
      <c r="B293" s="5" t="s">
        <v>17</v>
      </c>
      <c r="C293" s="5" t="s">
        <v>1548</v>
      </c>
      <c r="D293" s="5" t="s">
        <v>1213</v>
      </c>
      <c r="E293" s="5" t="s">
        <v>1556</v>
      </c>
      <c r="F293" s="5" t="s">
        <v>1230</v>
      </c>
      <c r="G293" s="5" t="s">
        <v>1557</v>
      </c>
      <c r="H293" s="5" t="s">
        <v>1558</v>
      </c>
      <c r="I293" s="5" t="s">
        <v>24</v>
      </c>
      <c r="J293" s="5" t="s">
        <v>29</v>
      </c>
      <c r="K293" s="5" t="s">
        <v>1559</v>
      </c>
      <c r="L293" s="5" t="s">
        <v>1210</v>
      </c>
      <c r="M293" s="5" t="s">
        <v>1560</v>
      </c>
      <c r="N293" s="5" t="s">
        <v>1561</v>
      </c>
      <c r="O293" s="1" t="s">
        <v>29</v>
      </c>
      <c r="P293" s="5" t="s">
        <v>30</v>
      </c>
      <c r="Q293" s="5"/>
    </row>
    <row r="294" customFormat="false" ht="15" hidden="false" customHeight="true" outlineLevel="0" collapsed="false">
      <c r="A294" s="5" t="n">
        <v>293</v>
      </c>
      <c r="B294" s="5" t="s">
        <v>17</v>
      </c>
      <c r="C294" s="5" t="s">
        <v>1562</v>
      </c>
      <c r="D294" s="5" t="s">
        <v>1213</v>
      </c>
      <c r="E294" s="5" t="s">
        <v>1563</v>
      </c>
      <c r="F294" s="5" t="s">
        <v>1230</v>
      </c>
      <c r="G294" s="5" t="s">
        <v>1564</v>
      </c>
      <c r="H294" s="5" t="s">
        <v>1565</v>
      </c>
      <c r="I294" s="5" t="s">
        <v>24</v>
      </c>
      <c r="J294" s="5" t="s">
        <v>29</v>
      </c>
      <c r="K294" s="5" t="s">
        <v>1566</v>
      </c>
      <c r="L294" s="5" t="s">
        <v>1210</v>
      </c>
      <c r="M294" s="5" t="s">
        <v>1567</v>
      </c>
      <c r="N294" s="5" t="s">
        <v>1568</v>
      </c>
      <c r="O294" s="1" t="s">
        <v>29</v>
      </c>
      <c r="P294" s="5" t="s">
        <v>30</v>
      </c>
      <c r="Q294" s="5"/>
    </row>
    <row r="295" customFormat="false" ht="15" hidden="false" customHeight="true" outlineLevel="0" collapsed="false">
      <c r="A295" s="5" t="n">
        <v>294</v>
      </c>
      <c r="B295" s="5" t="s">
        <v>17</v>
      </c>
      <c r="C295" s="5" t="s">
        <v>248</v>
      </c>
      <c r="D295" s="5" t="s">
        <v>1303</v>
      </c>
      <c r="E295" s="5" t="s">
        <v>1569</v>
      </c>
      <c r="F295" s="5" t="s">
        <v>1570</v>
      </c>
      <c r="G295" s="5" t="s">
        <v>1571</v>
      </c>
      <c r="H295" s="5" t="s">
        <v>1572</v>
      </c>
      <c r="I295" s="5" t="s">
        <v>24</v>
      </c>
      <c r="J295" s="5" t="s">
        <v>29</v>
      </c>
      <c r="K295" s="5" t="s">
        <v>1573</v>
      </c>
      <c r="L295" s="5" t="s">
        <v>1210</v>
      </c>
      <c r="M295" s="5" t="s">
        <v>1574</v>
      </c>
      <c r="N295" s="5" t="s">
        <v>1575</v>
      </c>
      <c r="O295" s="1" t="s">
        <v>29</v>
      </c>
      <c r="P295" s="5" t="s">
        <v>853</v>
      </c>
      <c r="Q295" s="5" t="s">
        <v>854</v>
      </c>
    </row>
    <row r="296" customFormat="false" ht="15" hidden="false" customHeight="true" outlineLevel="0" collapsed="false">
      <c r="A296" s="5" t="n">
        <v>295</v>
      </c>
      <c r="B296" s="5" t="s">
        <v>17</v>
      </c>
      <c r="C296" s="5" t="s">
        <v>248</v>
      </c>
      <c r="D296" s="5" t="s">
        <v>1044</v>
      </c>
      <c r="E296" s="5" t="s">
        <v>387</v>
      </c>
      <c r="F296" s="5" t="s">
        <v>1576</v>
      </c>
      <c r="G296" s="5" t="s">
        <v>1577</v>
      </c>
      <c r="H296" s="5" t="s">
        <v>1578</v>
      </c>
      <c r="I296" s="5" t="s">
        <v>24</v>
      </c>
      <c r="J296" s="5" t="s">
        <v>29</v>
      </c>
      <c r="K296" s="5" t="s">
        <v>1579</v>
      </c>
      <c r="L296" s="5" t="s">
        <v>1210</v>
      </c>
      <c r="M296" s="5" t="s">
        <v>1580</v>
      </c>
      <c r="N296" s="5" t="s">
        <v>1581</v>
      </c>
      <c r="O296" s="1" t="s">
        <v>29</v>
      </c>
      <c r="P296" s="5" t="s">
        <v>30</v>
      </c>
      <c r="Q296" s="5"/>
    </row>
    <row r="297" customFormat="false" ht="15" hidden="false" customHeight="true" outlineLevel="0" collapsed="false">
      <c r="A297" s="5" t="n">
        <v>296</v>
      </c>
      <c r="B297" s="5" t="s">
        <v>17</v>
      </c>
      <c r="C297" s="5" t="s">
        <v>248</v>
      </c>
      <c r="D297" s="5" t="s">
        <v>1213</v>
      </c>
      <c r="E297" s="5" t="s">
        <v>1582</v>
      </c>
      <c r="F297" s="5" t="s">
        <v>1583</v>
      </c>
      <c r="G297" s="5" t="s">
        <v>1584</v>
      </c>
      <c r="H297" s="5" t="s">
        <v>1585</v>
      </c>
      <c r="I297" s="5" t="s">
        <v>24</v>
      </c>
      <c r="J297" s="5" t="s">
        <v>29</v>
      </c>
      <c r="K297" s="5" t="s">
        <v>1586</v>
      </c>
      <c r="L297" s="5" t="s">
        <v>1210</v>
      </c>
      <c r="M297" s="5" t="s">
        <v>1587</v>
      </c>
      <c r="N297" s="5" t="s">
        <v>1588</v>
      </c>
      <c r="O297" s="1" t="s">
        <v>29</v>
      </c>
      <c r="P297" s="5" t="s">
        <v>30</v>
      </c>
      <c r="Q297" s="5"/>
    </row>
    <row r="298" customFormat="false" ht="15" hidden="false" customHeight="true" outlineLevel="0" collapsed="false">
      <c r="A298" s="5" t="n">
        <v>297</v>
      </c>
      <c r="B298" s="5" t="s">
        <v>17</v>
      </c>
      <c r="C298" s="5" t="s">
        <v>1589</v>
      </c>
      <c r="D298" s="5" t="s">
        <v>1236</v>
      </c>
      <c r="E298" s="5" t="s">
        <v>1590</v>
      </c>
      <c r="F298" s="5" t="s">
        <v>1591</v>
      </c>
      <c r="G298" s="5" t="s">
        <v>1592</v>
      </c>
      <c r="H298" s="5" t="s">
        <v>1593</v>
      </c>
      <c r="I298" s="5" t="s">
        <v>24</v>
      </c>
      <c r="J298" s="5" t="s">
        <v>29</v>
      </c>
      <c r="K298" s="5" t="s">
        <v>1594</v>
      </c>
      <c r="L298" s="5" t="s">
        <v>1210</v>
      </c>
      <c r="M298" s="5" t="s">
        <v>1595</v>
      </c>
      <c r="N298" s="5" t="s">
        <v>1596</v>
      </c>
      <c r="O298" s="1" t="s">
        <v>29</v>
      </c>
      <c r="P298" s="5" t="s">
        <v>30</v>
      </c>
      <c r="Q298" s="5"/>
    </row>
    <row r="299" customFormat="false" ht="15" hidden="false" customHeight="true" outlineLevel="0" collapsed="false">
      <c r="A299" s="5" t="n">
        <v>298</v>
      </c>
      <c r="B299" s="5" t="s">
        <v>17</v>
      </c>
      <c r="C299" s="5" t="s">
        <v>1589</v>
      </c>
      <c r="D299" s="5" t="s">
        <v>1236</v>
      </c>
      <c r="E299" s="5" t="s">
        <v>1597</v>
      </c>
      <c r="F299" s="5" t="s">
        <v>1598</v>
      </c>
      <c r="G299" s="5" t="s">
        <v>1599</v>
      </c>
      <c r="H299" s="5" t="s">
        <v>1600</v>
      </c>
      <c r="I299" s="5" t="s">
        <v>24</v>
      </c>
      <c r="J299" s="5" t="s">
        <v>29</v>
      </c>
      <c r="K299" s="5" t="s">
        <v>1601</v>
      </c>
      <c r="L299" s="5" t="s">
        <v>1210</v>
      </c>
      <c r="M299" s="5" t="s">
        <v>1602</v>
      </c>
      <c r="N299" s="5" t="s">
        <v>1603</v>
      </c>
      <c r="O299" s="1" t="s">
        <v>29</v>
      </c>
      <c r="P299" s="5" t="s">
        <v>30</v>
      </c>
      <c r="Q299" s="5"/>
    </row>
    <row r="300" customFormat="false" ht="15" hidden="false" customHeight="true" outlineLevel="0" collapsed="false">
      <c r="A300" s="5" t="n">
        <v>299</v>
      </c>
      <c r="B300" s="5" t="s">
        <v>17</v>
      </c>
      <c r="C300" s="5" t="s">
        <v>186</v>
      </c>
      <c r="D300" s="5" t="s">
        <v>1044</v>
      </c>
      <c r="E300" s="5" t="s">
        <v>1604</v>
      </c>
      <c r="F300" s="5" t="s">
        <v>1605</v>
      </c>
      <c r="G300" s="5" t="s">
        <v>1606</v>
      </c>
      <c r="H300" s="5" t="s">
        <v>1607</v>
      </c>
      <c r="I300" s="5" t="s">
        <v>24</v>
      </c>
      <c r="J300" s="5" t="s">
        <v>29</v>
      </c>
      <c r="K300" s="5" t="s">
        <v>1608</v>
      </c>
      <c r="L300" s="5" t="s">
        <v>1210</v>
      </c>
      <c r="M300" s="5" t="s">
        <v>1609</v>
      </c>
      <c r="N300" s="5" t="s">
        <v>1610</v>
      </c>
      <c r="O300" s="1" t="s">
        <v>29</v>
      </c>
      <c r="P300" s="5" t="s">
        <v>30</v>
      </c>
      <c r="Q300" s="5"/>
    </row>
    <row r="301" customFormat="false" ht="15" hidden="false" customHeight="true" outlineLevel="0" collapsed="false">
      <c r="A301" s="5" t="n">
        <v>300</v>
      </c>
      <c r="B301" s="5" t="s">
        <v>17</v>
      </c>
      <c r="C301" s="5" t="s">
        <v>186</v>
      </c>
      <c r="D301" s="5" t="s">
        <v>1213</v>
      </c>
      <c r="E301" s="5" t="s">
        <v>1611</v>
      </c>
      <c r="F301" s="5" t="s">
        <v>1230</v>
      </c>
      <c r="G301" s="5" t="s">
        <v>1612</v>
      </c>
      <c r="H301" s="5" t="s">
        <v>1613</v>
      </c>
      <c r="I301" s="5" t="s">
        <v>24</v>
      </c>
      <c r="J301" s="5" t="s">
        <v>29</v>
      </c>
      <c r="K301" s="5" t="s">
        <v>1614</v>
      </c>
      <c r="L301" s="5" t="s">
        <v>1210</v>
      </c>
      <c r="M301" s="5" t="s">
        <v>1615</v>
      </c>
      <c r="N301" s="5" t="s">
        <v>1616</v>
      </c>
      <c r="O301" s="1" t="s">
        <v>29</v>
      </c>
      <c r="P301" s="5" t="s">
        <v>30</v>
      </c>
      <c r="Q301" s="5"/>
    </row>
    <row r="302" customFormat="false" ht="15" hidden="false" customHeight="true" outlineLevel="0" collapsed="false">
      <c r="A302" s="5" t="n">
        <v>301</v>
      </c>
      <c r="B302" s="5" t="s">
        <v>17</v>
      </c>
      <c r="C302" s="5" t="s">
        <v>194</v>
      </c>
      <c r="D302" s="5" t="s">
        <v>1236</v>
      </c>
      <c r="E302" s="5" t="s">
        <v>1617</v>
      </c>
      <c r="F302" s="5" t="s">
        <v>1618</v>
      </c>
      <c r="G302" s="5" t="s">
        <v>1619</v>
      </c>
      <c r="H302" s="5" t="s">
        <v>1620</v>
      </c>
      <c r="I302" s="5" t="s">
        <v>24</v>
      </c>
      <c r="J302" s="5" t="s">
        <v>29</v>
      </c>
      <c r="K302" s="5" t="s">
        <v>1621</v>
      </c>
      <c r="L302" s="5" t="s">
        <v>1210</v>
      </c>
      <c r="M302" s="5" t="s">
        <v>1622</v>
      </c>
      <c r="N302" s="5" t="s">
        <v>1623</v>
      </c>
      <c r="O302" s="1" t="s">
        <v>29</v>
      </c>
      <c r="P302" s="5" t="s">
        <v>30</v>
      </c>
      <c r="Q302" s="5"/>
    </row>
    <row r="303" customFormat="false" ht="15" hidden="false" customHeight="true" outlineLevel="0" collapsed="false">
      <c r="A303" s="5" t="n">
        <v>302</v>
      </c>
      <c r="B303" s="5" t="s">
        <v>17</v>
      </c>
      <c r="C303" s="5" t="s">
        <v>194</v>
      </c>
      <c r="D303" s="5" t="s">
        <v>1044</v>
      </c>
      <c r="E303" s="5" t="s">
        <v>385</v>
      </c>
      <c r="F303" s="5" t="s">
        <v>1624</v>
      </c>
      <c r="G303" s="5" t="s">
        <v>1625</v>
      </c>
      <c r="H303" s="5" t="s">
        <v>1626</v>
      </c>
      <c r="I303" s="5" t="s">
        <v>24</v>
      </c>
      <c r="J303" s="5" t="s">
        <v>29</v>
      </c>
      <c r="K303" s="5" t="s">
        <v>1627</v>
      </c>
      <c r="L303" s="5" t="s">
        <v>1210</v>
      </c>
      <c r="M303" s="5" t="s">
        <v>1628</v>
      </c>
      <c r="N303" s="5" t="s">
        <v>1629</v>
      </c>
      <c r="O303" s="1" t="s">
        <v>29</v>
      </c>
      <c r="P303" s="5" t="s">
        <v>30</v>
      </c>
      <c r="Q303" s="5"/>
    </row>
    <row r="304" customFormat="false" ht="15" hidden="false" customHeight="true" outlineLevel="0" collapsed="false">
      <c r="A304" s="5" t="n">
        <v>303</v>
      </c>
      <c r="B304" s="5" t="s">
        <v>17</v>
      </c>
      <c r="C304" s="5" t="s">
        <v>194</v>
      </c>
      <c r="D304" s="5" t="s">
        <v>1213</v>
      </c>
      <c r="E304" s="5" t="s">
        <v>1630</v>
      </c>
      <c r="F304" s="5" t="s">
        <v>1230</v>
      </c>
      <c r="G304" s="5" t="s">
        <v>1631</v>
      </c>
      <c r="H304" s="5" t="s">
        <v>1632</v>
      </c>
      <c r="I304" s="5" t="s">
        <v>24</v>
      </c>
      <c r="J304" s="5" t="s">
        <v>29</v>
      </c>
      <c r="K304" s="5" t="s">
        <v>1633</v>
      </c>
      <c r="L304" s="5" t="s">
        <v>1210</v>
      </c>
      <c r="M304" s="5" t="s">
        <v>1634</v>
      </c>
      <c r="N304" s="5" t="s">
        <v>1635</v>
      </c>
      <c r="O304" s="1" t="s">
        <v>29</v>
      </c>
      <c r="P304" s="5" t="s">
        <v>30</v>
      </c>
      <c r="Q304" s="5"/>
    </row>
    <row r="305" customFormat="false" ht="15" hidden="false" customHeight="true" outlineLevel="0" collapsed="false">
      <c r="A305" s="5" t="n">
        <v>304</v>
      </c>
      <c r="B305" s="5" t="s">
        <v>17</v>
      </c>
      <c r="C305" s="5" t="s">
        <v>294</v>
      </c>
      <c r="D305" s="5" t="s">
        <v>1213</v>
      </c>
      <c r="E305" s="5" t="s">
        <v>1636</v>
      </c>
      <c r="F305" s="5" t="s">
        <v>1637</v>
      </c>
      <c r="G305" s="5" t="s">
        <v>1638</v>
      </c>
      <c r="H305" s="5" t="s">
        <v>1639</v>
      </c>
      <c r="I305" s="5" t="s">
        <v>24</v>
      </c>
      <c r="J305" s="5" t="s">
        <v>29</v>
      </c>
      <c r="K305" s="5" t="s">
        <v>1640</v>
      </c>
      <c r="L305" s="5" t="s">
        <v>1210</v>
      </c>
      <c r="M305" s="5" t="s">
        <v>1641</v>
      </c>
      <c r="N305" s="5" t="s">
        <v>1642</v>
      </c>
      <c r="O305" s="1" t="s">
        <v>29</v>
      </c>
      <c r="P305" s="5" t="s">
        <v>30</v>
      </c>
      <c r="Q305" s="5"/>
    </row>
    <row r="306" customFormat="false" ht="15" hidden="false" customHeight="true" outlineLevel="0" collapsed="false">
      <c r="A306" s="5" t="n">
        <v>305</v>
      </c>
      <c r="B306" s="5" t="s">
        <v>17</v>
      </c>
      <c r="C306" s="5" t="s">
        <v>18</v>
      </c>
      <c r="D306" s="5" t="s">
        <v>1236</v>
      </c>
      <c r="E306" s="5" t="s">
        <v>1643</v>
      </c>
      <c r="F306" s="5" t="s">
        <v>1644</v>
      </c>
      <c r="G306" s="5" t="s">
        <v>1645</v>
      </c>
      <c r="H306" s="5" t="s">
        <v>1646</v>
      </c>
      <c r="I306" s="5" t="s">
        <v>24</v>
      </c>
      <c r="J306" s="5" t="s">
        <v>29</v>
      </c>
      <c r="K306" s="5" t="s">
        <v>1647</v>
      </c>
      <c r="L306" s="5" t="s">
        <v>1210</v>
      </c>
      <c r="M306" s="5" t="s">
        <v>1648</v>
      </c>
      <c r="N306" s="5" t="s">
        <v>1649</v>
      </c>
      <c r="O306" s="1" t="s">
        <v>29</v>
      </c>
      <c r="P306" s="5" t="s">
        <v>30</v>
      </c>
      <c r="Q306" s="5"/>
    </row>
    <row r="307" customFormat="false" ht="15" hidden="false" customHeight="true" outlineLevel="0" collapsed="false">
      <c r="A307" s="5" t="n">
        <v>306</v>
      </c>
      <c r="B307" s="5" t="s">
        <v>17</v>
      </c>
      <c r="C307" s="5" t="s">
        <v>18</v>
      </c>
      <c r="D307" s="5" t="s">
        <v>1236</v>
      </c>
      <c r="E307" s="5" t="s">
        <v>1650</v>
      </c>
      <c r="F307" s="5" t="s">
        <v>1651</v>
      </c>
      <c r="G307" s="5" t="s">
        <v>1652</v>
      </c>
      <c r="H307" s="5" t="s">
        <v>1653</v>
      </c>
      <c r="I307" s="5" t="s">
        <v>24</v>
      </c>
      <c r="J307" s="5" t="s">
        <v>29</v>
      </c>
      <c r="K307" s="5" t="s">
        <v>1654</v>
      </c>
      <c r="L307" s="5" t="s">
        <v>1210</v>
      </c>
      <c r="M307" s="5" t="s">
        <v>1655</v>
      </c>
      <c r="N307" s="5" t="s">
        <v>1656</v>
      </c>
      <c r="O307" s="1" t="s">
        <v>29</v>
      </c>
      <c r="P307" s="5" t="s">
        <v>30</v>
      </c>
      <c r="Q307" s="5"/>
    </row>
    <row r="308" customFormat="false" ht="15" hidden="false" customHeight="true" outlineLevel="0" collapsed="false">
      <c r="A308" s="5" t="n">
        <v>307</v>
      </c>
      <c r="B308" s="5" t="s">
        <v>17</v>
      </c>
      <c r="C308" s="5" t="s">
        <v>18</v>
      </c>
      <c r="D308" s="5" t="s">
        <v>1303</v>
      </c>
      <c r="E308" s="5" t="s">
        <v>1657</v>
      </c>
      <c r="F308" s="5" t="s">
        <v>1658</v>
      </c>
      <c r="G308" s="5" t="s">
        <v>1659</v>
      </c>
      <c r="H308" s="5" t="s">
        <v>1660</v>
      </c>
      <c r="I308" s="5" t="s">
        <v>24</v>
      </c>
      <c r="J308" s="5" t="s">
        <v>29</v>
      </c>
      <c r="K308" s="5" t="s">
        <v>1661</v>
      </c>
      <c r="L308" s="5" t="s">
        <v>1210</v>
      </c>
      <c r="M308" s="5" t="s">
        <v>1662</v>
      </c>
      <c r="N308" s="5" t="s">
        <v>1663</v>
      </c>
      <c r="O308" s="1" t="s">
        <v>29</v>
      </c>
      <c r="P308" s="5" t="s">
        <v>30</v>
      </c>
      <c r="Q308" s="5"/>
    </row>
    <row r="309" customFormat="false" ht="15" hidden="false" customHeight="true" outlineLevel="0" collapsed="false">
      <c r="A309" s="5" t="n">
        <v>308</v>
      </c>
      <c r="B309" s="5" t="s">
        <v>17</v>
      </c>
      <c r="C309" s="5" t="s">
        <v>18</v>
      </c>
      <c r="D309" s="5" t="s">
        <v>1044</v>
      </c>
      <c r="E309" s="5" t="s">
        <v>1664</v>
      </c>
      <c r="F309" s="5" t="s">
        <v>1665</v>
      </c>
      <c r="G309" s="5" t="s">
        <v>1666</v>
      </c>
      <c r="H309" s="5" t="s">
        <v>1667</v>
      </c>
      <c r="I309" s="5" t="s">
        <v>24</v>
      </c>
      <c r="J309" s="5" t="s">
        <v>29</v>
      </c>
      <c r="K309" s="5" t="s">
        <v>1668</v>
      </c>
      <c r="L309" s="5" t="s">
        <v>1210</v>
      </c>
      <c r="M309" s="5" t="s">
        <v>1669</v>
      </c>
      <c r="N309" s="5" t="s">
        <v>1670</v>
      </c>
      <c r="O309" s="1" t="s">
        <v>29</v>
      </c>
      <c r="P309" s="5" t="s">
        <v>30</v>
      </c>
      <c r="Q309" s="5"/>
    </row>
    <row r="310" customFormat="false" ht="15" hidden="false" customHeight="true" outlineLevel="0" collapsed="false">
      <c r="A310" s="5" t="n">
        <v>309</v>
      </c>
      <c r="B310" s="5" t="s">
        <v>17</v>
      </c>
      <c r="C310" s="5" t="s">
        <v>18</v>
      </c>
      <c r="D310" s="5" t="s">
        <v>1213</v>
      </c>
      <c r="E310" s="5" t="s">
        <v>1671</v>
      </c>
      <c r="F310" s="5" t="s">
        <v>1672</v>
      </c>
      <c r="G310" s="5" t="s">
        <v>1673</v>
      </c>
      <c r="H310" s="5" t="s">
        <v>1674</v>
      </c>
      <c r="I310" s="5" t="s">
        <v>24</v>
      </c>
      <c r="J310" s="5" t="s">
        <v>29</v>
      </c>
      <c r="K310" s="5" t="s">
        <v>1675</v>
      </c>
      <c r="L310" s="5" t="s">
        <v>1210</v>
      </c>
      <c r="M310" s="5" t="s">
        <v>1676</v>
      </c>
      <c r="N310" s="5" t="s">
        <v>1677</v>
      </c>
      <c r="O310" s="1" t="s">
        <v>29</v>
      </c>
      <c r="P310" s="5" t="s">
        <v>30</v>
      </c>
      <c r="Q310" s="5"/>
    </row>
    <row r="311" customFormat="false" ht="15" hidden="false" customHeight="true" outlineLevel="0" collapsed="false">
      <c r="A311" s="5" t="n">
        <v>310</v>
      </c>
      <c r="B311" s="5" t="s">
        <v>17</v>
      </c>
      <c r="C311" s="5" t="s">
        <v>100</v>
      </c>
      <c r="D311" s="5" t="s">
        <v>1236</v>
      </c>
      <c r="E311" s="5" t="s">
        <v>1678</v>
      </c>
      <c r="F311" s="5" t="s">
        <v>408</v>
      </c>
      <c r="G311" s="5" t="s">
        <v>1679</v>
      </c>
      <c r="H311" s="5" t="s">
        <v>1680</v>
      </c>
      <c r="I311" s="5" t="s">
        <v>24</v>
      </c>
      <c r="J311" s="5" t="s">
        <v>29</v>
      </c>
      <c r="K311" s="5" t="s">
        <v>1681</v>
      </c>
      <c r="L311" s="5" t="s">
        <v>1210</v>
      </c>
      <c r="M311" s="5" t="s">
        <v>1682</v>
      </c>
      <c r="N311" s="5" t="s">
        <v>1683</v>
      </c>
      <c r="O311" s="1" t="s">
        <v>29</v>
      </c>
      <c r="P311" s="5" t="s">
        <v>30</v>
      </c>
      <c r="Q311" s="5"/>
    </row>
    <row r="312" customFormat="false" ht="15" hidden="false" customHeight="true" outlineLevel="0" collapsed="false">
      <c r="A312" s="5" t="n">
        <v>311</v>
      </c>
      <c r="B312" s="5" t="s">
        <v>17</v>
      </c>
      <c r="C312" s="5" t="s">
        <v>100</v>
      </c>
      <c r="D312" s="5" t="s">
        <v>1236</v>
      </c>
      <c r="E312" s="5" t="s">
        <v>1684</v>
      </c>
      <c r="F312" s="5" t="s">
        <v>1685</v>
      </c>
      <c r="G312" s="5" t="s">
        <v>1686</v>
      </c>
      <c r="H312" s="5" t="s">
        <v>1687</v>
      </c>
      <c r="I312" s="5" t="s">
        <v>24</v>
      </c>
      <c r="J312" s="5" t="s">
        <v>29</v>
      </c>
      <c r="K312" s="5" t="s">
        <v>1688</v>
      </c>
      <c r="L312" s="5" t="s">
        <v>1210</v>
      </c>
      <c r="M312" s="5" t="s">
        <v>1689</v>
      </c>
      <c r="N312" s="5" t="s">
        <v>1690</v>
      </c>
      <c r="O312" s="1" t="s">
        <v>29</v>
      </c>
      <c r="P312" s="5" t="s">
        <v>30</v>
      </c>
      <c r="Q312" s="5"/>
    </row>
    <row r="313" customFormat="false" ht="15" hidden="false" customHeight="true" outlineLevel="0" collapsed="false">
      <c r="A313" s="5" t="n">
        <v>312</v>
      </c>
      <c r="B313" s="5" t="s">
        <v>17</v>
      </c>
      <c r="C313" s="5" t="s">
        <v>100</v>
      </c>
      <c r="D313" s="5" t="s">
        <v>1236</v>
      </c>
      <c r="E313" s="5" t="s">
        <v>1691</v>
      </c>
      <c r="F313" s="5" t="s">
        <v>1692</v>
      </c>
      <c r="G313" s="5" t="s">
        <v>1693</v>
      </c>
      <c r="H313" s="5" t="s">
        <v>1694</v>
      </c>
      <c r="I313" s="5" t="s">
        <v>24</v>
      </c>
      <c r="J313" s="5" t="s">
        <v>29</v>
      </c>
      <c r="K313" s="5" t="s">
        <v>1695</v>
      </c>
      <c r="L313" s="5" t="s">
        <v>1210</v>
      </c>
      <c r="M313" s="5" t="s">
        <v>1696</v>
      </c>
      <c r="N313" s="5" t="s">
        <v>1697</v>
      </c>
      <c r="O313" s="1" t="s">
        <v>29</v>
      </c>
      <c r="P313" s="5" t="s">
        <v>30</v>
      </c>
      <c r="Q313" s="5"/>
    </row>
    <row r="314" customFormat="false" ht="15" hidden="false" customHeight="true" outlineLevel="0" collapsed="false">
      <c r="A314" s="5" t="n">
        <v>313</v>
      </c>
      <c r="B314" s="5" t="s">
        <v>17</v>
      </c>
      <c r="C314" s="5" t="s">
        <v>100</v>
      </c>
      <c r="D314" s="5" t="s">
        <v>1236</v>
      </c>
      <c r="E314" s="5" t="s">
        <v>1698</v>
      </c>
      <c r="F314" s="5" t="s">
        <v>1699</v>
      </c>
      <c r="G314" s="5" t="s">
        <v>1700</v>
      </c>
      <c r="H314" s="5" t="s">
        <v>1701</v>
      </c>
      <c r="I314" s="5" t="s">
        <v>24</v>
      </c>
      <c r="J314" s="5" t="s">
        <v>29</v>
      </c>
      <c r="K314" s="5" t="s">
        <v>1702</v>
      </c>
      <c r="L314" s="5" t="s">
        <v>1210</v>
      </c>
      <c r="M314" s="5" t="s">
        <v>1703</v>
      </c>
      <c r="N314" s="5" t="s">
        <v>1704</v>
      </c>
      <c r="O314" s="1" t="s">
        <v>29</v>
      </c>
      <c r="P314" s="5" t="s">
        <v>30</v>
      </c>
      <c r="Q314" s="5"/>
    </row>
    <row r="315" customFormat="false" ht="15" hidden="false" customHeight="true" outlineLevel="0" collapsed="false">
      <c r="A315" s="5" t="n">
        <v>314</v>
      </c>
      <c r="B315" s="5" t="s">
        <v>17</v>
      </c>
      <c r="C315" s="5" t="s">
        <v>100</v>
      </c>
      <c r="D315" s="5" t="s">
        <v>1213</v>
      </c>
      <c r="E315" s="5" t="s">
        <v>1705</v>
      </c>
      <c r="F315" s="5" t="s">
        <v>1706</v>
      </c>
      <c r="G315" s="5" t="s">
        <v>1707</v>
      </c>
      <c r="H315" s="5" t="s">
        <v>1708</v>
      </c>
      <c r="I315" s="5" t="s">
        <v>24</v>
      </c>
      <c r="J315" s="5" t="s">
        <v>29</v>
      </c>
      <c r="K315" s="5" t="s">
        <v>1709</v>
      </c>
      <c r="L315" s="5" t="s">
        <v>1210</v>
      </c>
      <c r="M315" s="5" t="s">
        <v>1710</v>
      </c>
      <c r="N315" s="5" t="s">
        <v>1711</v>
      </c>
      <c r="O315" s="1" t="s">
        <v>29</v>
      </c>
      <c r="P315" s="5" t="s">
        <v>30</v>
      </c>
      <c r="Q315" s="5"/>
    </row>
    <row r="316" customFormat="false" ht="15" hidden="false" customHeight="true" outlineLevel="0" collapsed="false">
      <c r="A316" s="5" t="n">
        <v>315</v>
      </c>
      <c r="B316" s="5" t="s">
        <v>17</v>
      </c>
      <c r="C316" s="5" t="s">
        <v>1712</v>
      </c>
      <c r="D316" s="5" t="s">
        <v>1213</v>
      </c>
      <c r="E316" s="5" t="s">
        <v>1713</v>
      </c>
      <c r="F316" s="5" t="s">
        <v>1230</v>
      </c>
      <c r="G316" s="5" t="s">
        <v>1714</v>
      </c>
      <c r="H316" s="5" t="s">
        <v>1715</v>
      </c>
      <c r="I316" s="5" t="s">
        <v>24</v>
      </c>
      <c r="J316" s="5" t="s">
        <v>29</v>
      </c>
      <c r="K316" s="5" t="s">
        <v>1716</v>
      </c>
      <c r="L316" s="5" t="s">
        <v>1210</v>
      </c>
      <c r="M316" s="5" t="s">
        <v>1717</v>
      </c>
      <c r="N316" s="5" t="s">
        <v>1718</v>
      </c>
      <c r="O316" s="1" t="s">
        <v>29</v>
      </c>
      <c r="P316" s="5" t="s">
        <v>30</v>
      </c>
      <c r="Q316" s="5"/>
    </row>
    <row r="317" customFormat="false" ht="15" hidden="false" customHeight="true" outlineLevel="0" collapsed="false">
      <c r="A317" s="5" t="n">
        <v>316</v>
      </c>
      <c r="B317" s="5" t="s">
        <v>17</v>
      </c>
      <c r="C317" s="5" t="s">
        <v>208</v>
      </c>
      <c r="D317" s="5" t="s">
        <v>1236</v>
      </c>
      <c r="E317" s="5" t="s">
        <v>1719</v>
      </c>
      <c r="F317" s="5" t="s">
        <v>1720</v>
      </c>
      <c r="G317" s="5" t="s">
        <v>1721</v>
      </c>
      <c r="H317" s="5" t="s">
        <v>1722</v>
      </c>
      <c r="I317" s="5" t="s">
        <v>24</v>
      </c>
      <c r="J317" s="5" t="s">
        <v>29</v>
      </c>
      <c r="K317" s="5" t="s">
        <v>1723</v>
      </c>
      <c r="L317" s="5" t="s">
        <v>1210</v>
      </c>
      <c r="M317" s="5" t="s">
        <v>1724</v>
      </c>
      <c r="N317" s="5" t="s">
        <v>1725</v>
      </c>
      <c r="O317" s="1" t="s">
        <v>29</v>
      </c>
      <c r="P317" s="5" t="s">
        <v>30</v>
      </c>
      <c r="Q317" s="5"/>
    </row>
    <row r="318" customFormat="false" ht="15" hidden="false" customHeight="true" outlineLevel="0" collapsed="false">
      <c r="A318" s="5" t="n">
        <v>317</v>
      </c>
      <c r="B318" s="5" t="s">
        <v>17</v>
      </c>
      <c r="C318" s="5" t="s">
        <v>208</v>
      </c>
      <c r="D318" s="5" t="s">
        <v>1303</v>
      </c>
      <c r="E318" s="5" t="s">
        <v>381</v>
      </c>
      <c r="F318" s="5" t="s">
        <v>1726</v>
      </c>
      <c r="G318" s="5" t="s">
        <v>1727</v>
      </c>
      <c r="H318" s="5" t="s">
        <v>1728</v>
      </c>
      <c r="I318" s="5" t="s">
        <v>24</v>
      </c>
      <c r="J318" s="5" t="s">
        <v>29</v>
      </c>
      <c r="K318" s="5" t="s">
        <v>1729</v>
      </c>
      <c r="L318" s="5" t="s">
        <v>1210</v>
      </c>
      <c r="M318" s="5" t="s">
        <v>1730</v>
      </c>
      <c r="N318" s="5" t="s">
        <v>1731</v>
      </c>
      <c r="O318" s="1" t="s">
        <v>29</v>
      </c>
      <c r="P318" s="5" t="s">
        <v>30</v>
      </c>
      <c r="Q318" s="5"/>
    </row>
    <row r="319" customFormat="false" ht="15" hidden="false" customHeight="true" outlineLevel="0" collapsed="false">
      <c r="A319" s="5" t="n">
        <v>318</v>
      </c>
      <c r="B319" s="5" t="s">
        <v>17</v>
      </c>
      <c r="C319" s="5" t="s">
        <v>208</v>
      </c>
      <c r="D319" s="5" t="s">
        <v>1044</v>
      </c>
      <c r="E319" s="5" t="s">
        <v>1732</v>
      </c>
      <c r="F319" s="5" t="s">
        <v>1733</v>
      </c>
      <c r="G319" s="5" t="s">
        <v>1734</v>
      </c>
      <c r="H319" s="5" t="s">
        <v>1735</v>
      </c>
      <c r="I319" s="5" t="s">
        <v>24</v>
      </c>
      <c r="J319" s="5" t="s">
        <v>29</v>
      </c>
      <c r="K319" s="5" t="s">
        <v>1736</v>
      </c>
      <c r="L319" s="5" t="s">
        <v>1210</v>
      </c>
      <c r="M319" s="5" t="s">
        <v>1737</v>
      </c>
      <c r="N319" s="5" t="s">
        <v>1738</v>
      </c>
      <c r="O319" s="1" t="s">
        <v>29</v>
      </c>
      <c r="P319" s="5" t="s">
        <v>30</v>
      </c>
      <c r="Q319" s="5"/>
    </row>
    <row r="320" customFormat="false" ht="15" hidden="false" customHeight="true" outlineLevel="0" collapsed="false">
      <c r="A320" s="5" t="n">
        <v>319</v>
      </c>
      <c r="B320" s="5" t="s">
        <v>17</v>
      </c>
      <c r="C320" s="5" t="s">
        <v>208</v>
      </c>
      <c r="D320" s="5" t="s">
        <v>1044</v>
      </c>
      <c r="E320" s="5" t="s">
        <v>358</v>
      </c>
      <c r="F320" s="5" t="s">
        <v>1739</v>
      </c>
      <c r="G320" s="5" t="s">
        <v>1740</v>
      </c>
      <c r="H320" s="5" t="s">
        <v>1741</v>
      </c>
      <c r="I320" s="5" t="s">
        <v>24</v>
      </c>
      <c r="J320" s="5" t="s">
        <v>29</v>
      </c>
      <c r="K320" s="5" t="s">
        <v>1742</v>
      </c>
      <c r="L320" s="5" t="s">
        <v>1210</v>
      </c>
      <c r="M320" s="5" t="s">
        <v>1743</v>
      </c>
      <c r="N320" s="5" t="s">
        <v>1744</v>
      </c>
      <c r="O320" s="1" t="s">
        <v>29</v>
      </c>
      <c r="P320" s="5" t="s">
        <v>30</v>
      </c>
      <c r="Q320" s="5"/>
    </row>
    <row r="321" customFormat="false" ht="15" hidden="false" customHeight="true" outlineLevel="0" collapsed="false">
      <c r="A321" s="5" t="n">
        <v>320</v>
      </c>
      <c r="B321" s="5" t="s">
        <v>17</v>
      </c>
      <c r="C321" s="5" t="s">
        <v>208</v>
      </c>
      <c r="D321" s="5" t="s">
        <v>1213</v>
      </c>
      <c r="E321" s="5" t="s">
        <v>1745</v>
      </c>
      <c r="F321" s="5" t="s">
        <v>1230</v>
      </c>
      <c r="G321" s="5" t="s">
        <v>1746</v>
      </c>
      <c r="H321" s="5" t="s">
        <v>1747</v>
      </c>
      <c r="I321" s="5" t="s">
        <v>24</v>
      </c>
      <c r="J321" s="5" t="s">
        <v>29</v>
      </c>
      <c r="K321" s="5" t="s">
        <v>1748</v>
      </c>
      <c r="L321" s="5" t="s">
        <v>1210</v>
      </c>
      <c r="M321" s="5" t="s">
        <v>1749</v>
      </c>
      <c r="N321" s="5" t="s">
        <v>1750</v>
      </c>
      <c r="O321" s="1" t="s">
        <v>29</v>
      </c>
      <c r="P321" s="5" t="s">
        <v>30</v>
      </c>
      <c r="Q321" s="5"/>
    </row>
    <row r="322" customFormat="false" ht="15" hidden="false" customHeight="true" outlineLevel="0" collapsed="false">
      <c r="A322" s="5" t="n">
        <v>321</v>
      </c>
      <c r="B322" s="5" t="s">
        <v>17</v>
      </c>
      <c r="C322" s="5" t="s">
        <v>179</v>
      </c>
      <c r="D322" s="5" t="s">
        <v>1303</v>
      </c>
      <c r="E322" s="5" t="s">
        <v>1751</v>
      </c>
      <c r="F322" s="5" t="s">
        <v>1752</v>
      </c>
      <c r="G322" s="5" t="s">
        <v>1753</v>
      </c>
      <c r="H322" s="5" t="s">
        <v>1754</v>
      </c>
      <c r="I322" s="5" t="s">
        <v>24</v>
      </c>
      <c r="J322" s="5" t="s">
        <v>29</v>
      </c>
      <c r="K322" s="5" t="s">
        <v>1755</v>
      </c>
      <c r="L322" s="5" t="s">
        <v>1210</v>
      </c>
      <c r="M322" s="5" t="s">
        <v>1756</v>
      </c>
      <c r="N322" s="5" t="s">
        <v>1757</v>
      </c>
      <c r="O322" s="1" t="s">
        <v>29</v>
      </c>
      <c r="P322" s="5" t="s">
        <v>30</v>
      </c>
      <c r="Q322" s="5"/>
    </row>
    <row r="323" customFormat="false" ht="15" hidden="false" customHeight="true" outlineLevel="0" collapsed="false">
      <c r="A323" s="5" t="n">
        <v>322</v>
      </c>
      <c r="B323" s="5" t="s">
        <v>17</v>
      </c>
      <c r="C323" s="5" t="s">
        <v>179</v>
      </c>
      <c r="D323" s="5" t="s">
        <v>1213</v>
      </c>
      <c r="E323" s="5" t="s">
        <v>1758</v>
      </c>
      <c r="F323" s="5" t="s">
        <v>1230</v>
      </c>
      <c r="G323" s="5" t="s">
        <v>1759</v>
      </c>
      <c r="H323" s="5" t="s">
        <v>1760</v>
      </c>
      <c r="I323" s="5" t="s">
        <v>24</v>
      </c>
      <c r="J323" s="5" t="s">
        <v>29</v>
      </c>
      <c r="K323" s="5" t="s">
        <v>1761</v>
      </c>
      <c r="L323" s="5" t="s">
        <v>1210</v>
      </c>
      <c r="M323" s="5" t="s">
        <v>1762</v>
      </c>
      <c r="N323" s="5" t="s">
        <v>1763</v>
      </c>
      <c r="O323" s="1" t="s">
        <v>29</v>
      </c>
      <c r="P323" s="5" t="s">
        <v>30</v>
      </c>
      <c r="Q323" s="5"/>
    </row>
    <row r="324" customFormat="false" ht="15" hidden="false" customHeight="true" outlineLevel="0" collapsed="false">
      <c r="A324" s="5" t="n">
        <v>323</v>
      </c>
      <c r="B324" s="5" t="s">
        <v>17</v>
      </c>
      <c r="C324" s="5" t="s">
        <v>114</v>
      </c>
      <c r="D324" s="5" t="s">
        <v>1044</v>
      </c>
      <c r="E324" s="5" t="s">
        <v>1764</v>
      </c>
      <c r="F324" s="5" t="s">
        <v>1765</v>
      </c>
      <c r="G324" s="5" t="s">
        <v>1766</v>
      </c>
      <c r="H324" s="5" t="s">
        <v>1767</v>
      </c>
      <c r="I324" s="5" t="s">
        <v>24</v>
      </c>
      <c r="J324" s="5" t="s">
        <v>29</v>
      </c>
      <c r="K324" s="5" t="s">
        <v>1768</v>
      </c>
      <c r="L324" s="5" t="s">
        <v>1210</v>
      </c>
      <c r="M324" s="5" t="s">
        <v>1769</v>
      </c>
      <c r="N324" s="5" t="s">
        <v>1770</v>
      </c>
      <c r="O324" s="1" t="s">
        <v>29</v>
      </c>
      <c r="P324" s="5" t="s">
        <v>30</v>
      </c>
      <c r="Q324" s="5"/>
    </row>
    <row r="325" customFormat="false" ht="15" hidden="false" customHeight="true" outlineLevel="0" collapsed="false">
      <c r="A325" s="5" t="n">
        <v>324</v>
      </c>
      <c r="B325" s="5" t="s">
        <v>17</v>
      </c>
      <c r="C325" s="5" t="s">
        <v>114</v>
      </c>
      <c r="D325" s="5" t="s">
        <v>1044</v>
      </c>
      <c r="E325" s="5" t="s">
        <v>389</v>
      </c>
      <c r="F325" s="5" t="s">
        <v>1771</v>
      </c>
      <c r="G325" s="5" t="s">
        <v>1772</v>
      </c>
      <c r="H325" s="5" t="s">
        <v>1773</v>
      </c>
      <c r="I325" s="5" t="s">
        <v>24</v>
      </c>
      <c r="J325" s="5" t="s">
        <v>29</v>
      </c>
      <c r="K325" s="5" t="s">
        <v>1774</v>
      </c>
      <c r="L325" s="5" t="s">
        <v>1210</v>
      </c>
      <c r="M325" s="5" t="s">
        <v>1775</v>
      </c>
      <c r="N325" s="5" t="s">
        <v>1776</v>
      </c>
      <c r="O325" s="1" t="s">
        <v>29</v>
      </c>
      <c r="P325" s="5" t="s">
        <v>30</v>
      </c>
      <c r="Q325" s="5"/>
    </row>
    <row r="326" customFormat="false" ht="15" hidden="false" customHeight="true" outlineLevel="0" collapsed="false">
      <c r="A326" s="5" t="n">
        <v>325</v>
      </c>
      <c r="B326" s="5" t="s">
        <v>17</v>
      </c>
      <c r="C326" s="5" t="s">
        <v>114</v>
      </c>
      <c r="D326" s="5" t="s">
        <v>1044</v>
      </c>
      <c r="E326" s="5" t="s">
        <v>1777</v>
      </c>
      <c r="F326" s="5" t="s">
        <v>1778</v>
      </c>
      <c r="G326" s="5" t="s">
        <v>1779</v>
      </c>
      <c r="H326" s="5" t="s">
        <v>1780</v>
      </c>
      <c r="I326" s="5" t="s">
        <v>24</v>
      </c>
      <c r="J326" s="5" t="s">
        <v>29</v>
      </c>
      <c r="K326" s="5" t="s">
        <v>1781</v>
      </c>
      <c r="L326" s="5" t="s">
        <v>1210</v>
      </c>
      <c r="M326" s="5" t="s">
        <v>1782</v>
      </c>
      <c r="N326" s="5" t="s">
        <v>1783</v>
      </c>
      <c r="O326" s="1" t="s">
        <v>29</v>
      </c>
      <c r="P326" s="5" t="s">
        <v>30</v>
      </c>
      <c r="Q326" s="5"/>
    </row>
    <row r="327" customFormat="false" ht="15" hidden="false" customHeight="true" outlineLevel="0" collapsed="false">
      <c r="A327" s="5" t="n">
        <v>326</v>
      </c>
      <c r="B327" s="5" t="s">
        <v>17</v>
      </c>
      <c r="C327" s="5" t="s">
        <v>114</v>
      </c>
      <c r="D327" s="5" t="s">
        <v>1213</v>
      </c>
      <c r="E327" s="5" t="s">
        <v>1784</v>
      </c>
      <c r="F327" s="5" t="s">
        <v>1230</v>
      </c>
      <c r="G327" s="5" t="s">
        <v>1785</v>
      </c>
      <c r="H327" s="5" t="s">
        <v>1786</v>
      </c>
      <c r="I327" s="5" t="s">
        <v>24</v>
      </c>
      <c r="J327" s="5" t="s">
        <v>29</v>
      </c>
      <c r="K327" s="5" t="s">
        <v>1787</v>
      </c>
      <c r="L327" s="5" t="s">
        <v>1210</v>
      </c>
      <c r="M327" s="5" t="s">
        <v>1788</v>
      </c>
      <c r="N327" s="5" t="s">
        <v>1789</v>
      </c>
      <c r="O327" s="1" t="s">
        <v>29</v>
      </c>
      <c r="P327" s="5" t="s">
        <v>30</v>
      </c>
      <c r="Q327" s="5"/>
    </row>
    <row r="328" customFormat="false" ht="15" hidden="false" customHeight="true" outlineLevel="0" collapsed="false">
      <c r="A328" s="7" t="n">
        <v>327</v>
      </c>
      <c r="B328" s="7" t="s">
        <v>17</v>
      </c>
      <c r="C328" s="7" t="s">
        <v>85</v>
      </c>
      <c r="D328" s="7" t="s">
        <v>1044</v>
      </c>
      <c r="E328" s="7" t="s">
        <v>86</v>
      </c>
      <c r="F328" s="7" t="s">
        <v>1790</v>
      </c>
      <c r="G328" s="7" t="s">
        <v>1791</v>
      </c>
      <c r="H328" s="7" t="s">
        <v>1792</v>
      </c>
      <c r="I328" s="7" t="s">
        <v>1793</v>
      </c>
      <c r="J328" s="7"/>
      <c r="K328" s="7"/>
      <c r="L328" s="7"/>
      <c r="M328" s="7" t="s">
        <v>1794</v>
      </c>
      <c r="N328" s="7" t="s">
        <v>1795</v>
      </c>
      <c r="P328" s="5"/>
      <c r="Q328" s="5"/>
    </row>
    <row r="329" customFormat="false" ht="15" hidden="false" customHeight="true" outlineLevel="0" collapsed="false">
      <c r="A329" s="7" t="n">
        <v>328</v>
      </c>
      <c r="B329" s="7" t="s">
        <v>17</v>
      </c>
      <c r="C329" s="7" t="s">
        <v>92</v>
      </c>
      <c r="D329" s="7" t="s">
        <v>1303</v>
      </c>
      <c r="E329" s="7" t="s">
        <v>94</v>
      </c>
      <c r="F329" s="7" t="s">
        <v>1796</v>
      </c>
      <c r="G329" s="7" t="s">
        <v>1797</v>
      </c>
      <c r="H329" s="7" t="s">
        <v>1798</v>
      </c>
      <c r="I329" s="7" t="s">
        <v>1799</v>
      </c>
      <c r="J329" s="7"/>
      <c r="K329" s="7"/>
      <c r="L329" s="7"/>
      <c r="M329" s="7" t="s">
        <v>1800</v>
      </c>
      <c r="N329" s="7" t="s">
        <v>1801</v>
      </c>
      <c r="P329" s="5"/>
      <c r="Q329" s="5"/>
    </row>
    <row r="330" customFormat="false" ht="15" hidden="false" customHeight="true" outlineLevel="0" collapsed="false">
      <c r="A330" s="7" t="n">
        <v>329</v>
      </c>
      <c r="B330" s="7" t="s">
        <v>17</v>
      </c>
      <c r="C330" s="7" t="s">
        <v>31</v>
      </c>
      <c r="D330" s="7" t="s">
        <v>1044</v>
      </c>
      <c r="E330" s="7" t="s">
        <v>146</v>
      </c>
      <c r="F330" s="7" t="s">
        <v>1802</v>
      </c>
      <c r="G330" s="7" t="s">
        <v>1803</v>
      </c>
      <c r="H330" s="7" t="s">
        <v>1804</v>
      </c>
      <c r="I330" s="7" t="s">
        <v>1805</v>
      </c>
      <c r="J330" s="7"/>
      <c r="K330" s="7"/>
      <c r="L330" s="7"/>
      <c r="M330" s="7" t="s">
        <v>1806</v>
      </c>
      <c r="N330" s="7" t="s">
        <v>1807</v>
      </c>
      <c r="P330" s="5"/>
      <c r="Q330" s="5"/>
    </row>
    <row r="331" customFormat="false" ht="15" hidden="false" customHeight="true" outlineLevel="0" collapsed="false">
      <c r="A331" s="7" t="n">
        <v>330</v>
      </c>
      <c r="B331" s="7" t="s">
        <v>17</v>
      </c>
      <c r="C331" s="7" t="s">
        <v>39</v>
      </c>
      <c r="D331" s="7" t="s">
        <v>1044</v>
      </c>
      <c r="E331" s="7" t="s">
        <v>1808</v>
      </c>
      <c r="F331" s="7" t="s">
        <v>1809</v>
      </c>
      <c r="G331" s="7" t="s">
        <v>1810</v>
      </c>
      <c r="H331" s="7" t="s">
        <v>1811</v>
      </c>
      <c r="I331" s="7" t="s">
        <v>1812</v>
      </c>
      <c r="J331" s="7"/>
      <c r="K331" s="7"/>
      <c r="L331" s="7"/>
      <c r="M331" s="7" t="s">
        <v>1813</v>
      </c>
      <c r="N331" s="7" t="s">
        <v>1814</v>
      </c>
      <c r="P331" s="5"/>
      <c r="Q331" s="5"/>
    </row>
    <row r="332" customFormat="false" ht="15" hidden="false" customHeight="true" outlineLevel="0" collapsed="false">
      <c r="A332" s="7" t="n">
        <v>331</v>
      </c>
      <c r="B332" s="7" t="s">
        <v>17</v>
      </c>
      <c r="C332" s="7" t="s">
        <v>186</v>
      </c>
      <c r="D332" s="7" t="s">
        <v>1044</v>
      </c>
      <c r="E332" s="7" t="s">
        <v>187</v>
      </c>
      <c r="F332" s="7" t="s">
        <v>1815</v>
      </c>
      <c r="G332" s="7" t="s">
        <v>1816</v>
      </c>
      <c r="H332" s="7" t="s">
        <v>1817</v>
      </c>
      <c r="I332" s="7" t="s">
        <v>1818</v>
      </c>
      <c r="J332" s="7"/>
      <c r="K332" s="7"/>
      <c r="L332" s="7"/>
      <c r="M332" s="7" t="s">
        <v>1819</v>
      </c>
      <c r="N332" s="7" t="s">
        <v>1820</v>
      </c>
      <c r="P332" s="5"/>
      <c r="Q332" s="5"/>
    </row>
    <row r="333" customFormat="false" ht="15" hidden="false" customHeight="true" outlineLevel="0" collapsed="false">
      <c r="A333" s="7" t="n">
        <v>332</v>
      </c>
      <c r="B333" s="7" t="s">
        <v>17</v>
      </c>
      <c r="C333" s="7" t="s">
        <v>18</v>
      </c>
      <c r="D333" s="7" t="s">
        <v>1044</v>
      </c>
      <c r="E333" s="7" t="s">
        <v>79</v>
      </c>
      <c r="F333" s="7" t="s">
        <v>1821</v>
      </c>
      <c r="G333" s="7" t="s">
        <v>1822</v>
      </c>
      <c r="H333" s="7" t="s">
        <v>1823</v>
      </c>
      <c r="I333" s="7" t="s">
        <v>1824</v>
      </c>
      <c r="J333" s="7"/>
      <c r="K333" s="7"/>
      <c r="L333" s="7"/>
      <c r="M333" s="7" t="s">
        <v>1211</v>
      </c>
      <c r="N333" s="7" t="s">
        <v>1825</v>
      </c>
      <c r="P333" s="5"/>
      <c r="Q333" s="5"/>
    </row>
    <row r="334" customFormat="false" ht="15" hidden="false" customHeight="true" outlineLevel="0" collapsed="false">
      <c r="A334" s="7" t="n">
        <v>333</v>
      </c>
      <c r="B334" s="7" t="s">
        <v>17</v>
      </c>
      <c r="C334" s="7" t="s">
        <v>18</v>
      </c>
      <c r="D334" s="7" t="s">
        <v>1044</v>
      </c>
      <c r="E334" s="7" t="s">
        <v>140</v>
      </c>
      <c r="F334" s="7" t="s">
        <v>1826</v>
      </c>
      <c r="G334" s="7" t="s">
        <v>1827</v>
      </c>
      <c r="H334" s="7" t="s">
        <v>1828</v>
      </c>
      <c r="I334" s="7" t="s">
        <v>1829</v>
      </c>
      <c r="J334" s="7"/>
      <c r="K334" s="7"/>
      <c r="L334" s="7"/>
      <c r="M334" s="7" t="s">
        <v>1830</v>
      </c>
      <c r="N334" s="7" t="s">
        <v>1831</v>
      </c>
      <c r="P334" s="5"/>
      <c r="Q334" s="5"/>
    </row>
    <row r="335" customFormat="false" ht="15" hidden="false" customHeight="true" outlineLevel="0" collapsed="false">
      <c r="A335" s="7" t="n">
        <v>334</v>
      </c>
      <c r="B335" s="7" t="s">
        <v>17</v>
      </c>
      <c r="C335" s="7" t="s">
        <v>179</v>
      </c>
      <c r="D335" s="7" t="s">
        <v>1044</v>
      </c>
      <c r="E335" s="7" t="s">
        <v>466</v>
      </c>
      <c r="F335" s="7" t="s">
        <v>467</v>
      </c>
      <c r="G335" s="7" t="s">
        <v>1832</v>
      </c>
      <c r="H335" s="7" t="s">
        <v>1833</v>
      </c>
      <c r="I335" s="7" t="s">
        <v>1834</v>
      </c>
      <c r="J335" s="7"/>
      <c r="K335" s="7"/>
      <c r="L335" s="7"/>
      <c r="M335" s="7" t="s">
        <v>1835</v>
      </c>
      <c r="N335" s="7" t="s">
        <v>1836</v>
      </c>
      <c r="P335" s="5"/>
      <c r="Q335" s="5"/>
    </row>
    <row r="336" customFormat="false" ht="15" hidden="false" customHeight="true" outlineLevel="0" collapsed="false">
      <c r="A336" s="7" t="n">
        <v>335</v>
      </c>
      <c r="B336" s="7" t="s">
        <v>17</v>
      </c>
      <c r="C336" s="7" t="s">
        <v>18</v>
      </c>
      <c r="D336" s="7" t="s">
        <v>1236</v>
      </c>
      <c r="E336" s="7" t="s">
        <v>366</v>
      </c>
      <c r="F336" s="7" t="s">
        <v>1837</v>
      </c>
      <c r="G336" s="7" t="s">
        <v>1838</v>
      </c>
      <c r="H336" s="7" t="s">
        <v>1839</v>
      </c>
      <c r="I336" s="7" t="s">
        <v>1840</v>
      </c>
      <c r="J336" s="7"/>
      <c r="K336" s="7"/>
      <c r="L336" s="7"/>
      <c r="M336" s="7" t="s">
        <v>1841</v>
      </c>
      <c r="N336" s="7" t="s">
        <v>1842</v>
      </c>
      <c r="P336" s="5"/>
      <c r="Q336" s="5"/>
    </row>
    <row r="337" customFormat="false" ht="15" hidden="false" customHeight="true" outlineLevel="0" collapsed="false">
      <c r="A337" s="7" t="n">
        <v>336</v>
      </c>
      <c r="B337" s="7" t="s">
        <v>17</v>
      </c>
      <c r="C337" s="7" t="s">
        <v>31</v>
      </c>
      <c r="D337" s="7" t="s">
        <v>1236</v>
      </c>
      <c r="E337" s="7" t="s">
        <v>1843</v>
      </c>
      <c r="F337" s="7" t="s">
        <v>1844</v>
      </c>
      <c r="G337" s="7" t="s">
        <v>1845</v>
      </c>
      <c r="H337" s="7" t="s">
        <v>1846</v>
      </c>
      <c r="I337" s="7" t="s">
        <v>1847</v>
      </c>
      <c r="J337" s="7"/>
      <c r="K337" s="7"/>
      <c r="L337" s="7"/>
      <c r="M337" s="7" t="s">
        <v>1848</v>
      </c>
      <c r="N337" s="7" t="s">
        <v>1849</v>
      </c>
      <c r="P337" s="5"/>
      <c r="Q337" s="5"/>
    </row>
    <row r="338" customFormat="false" ht="15" hidden="false" customHeight="true" outlineLevel="0" collapsed="false">
      <c r="A338" s="7" t="n">
        <v>337</v>
      </c>
      <c r="B338" s="7" t="s">
        <v>17</v>
      </c>
      <c r="C338" s="7" t="s">
        <v>100</v>
      </c>
      <c r="D338" s="7" t="s">
        <v>1303</v>
      </c>
      <c r="E338" s="7" t="s">
        <v>1850</v>
      </c>
      <c r="F338" s="7" t="s">
        <v>1851</v>
      </c>
      <c r="G338" s="7" t="s">
        <v>1852</v>
      </c>
      <c r="H338" s="7" t="s">
        <v>1853</v>
      </c>
      <c r="I338" s="7" t="s">
        <v>1854</v>
      </c>
      <c r="J338" s="7"/>
      <c r="K338" s="7"/>
      <c r="L338" s="7"/>
      <c r="M338" s="7" t="s">
        <v>1855</v>
      </c>
      <c r="N338" s="7" t="s">
        <v>1856</v>
      </c>
      <c r="P338" s="5"/>
      <c r="Q338" s="5"/>
    </row>
    <row r="339" customFormat="false" ht="15" hidden="false" customHeight="true" outlineLevel="0" collapsed="false">
      <c r="A339" s="7" t="n">
        <v>338</v>
      </c>
      <c r="B339" s="7" t="s">
        <v>17</v>
      </c>
      <c r="C339" s="7" t="s">
        <v>1379</v>
      </c>
      <c r="D339" s="7" t="s">
        <v>1236</v>
      </c>
      <c r="E339" s="7" t="s">
        <v>1857</v>
      </c>
      <c r="F339" s="7" t="s">
        <v>1858</v>
      </c>
      <c r="G339" s="7" t="s">
        <v>1859</v>
      </c>
      <c r="H339" s="7" t="s">
        <v>1860</v>
      </c>
      <c r="I339" s="7" t="s">
        <v>1861</v>
      </c>
      <c r="J339" s="7"/>
      <c r="K339" s="7"/>
      <c r="L339" s="7"/>
      <c r="M339" s="7" t="s">
        <v>1862</v>
      </c>
      <c r="N339" s="7" t="s">
        <v>1863</v>
      </c>
      <c r="P339" s="5"/>
      <c r="Q339" s="5"/>
    </row>
    <row r="340" customFormat="false" ht="15" hidden="false" customHeight="true" outlineLevel="0" collapsed="false">
      <c r="A340" s="7" t="n">
        <v>339</v>
      </c>
      <c r="B340" s="7" t="s">
        <v>17</v>
      </c>
      <c r="C340" s="7" t="s">
        <v>1526</v>
      </c>
      <c r="D340" s="7" t="s">
        <v>1236</v>
      </c>
      <c r="E340" s="7" t="s">
        <v>1864</v>
      </c>
      <c r="F340" s="7" t="s">
        <v>1865</v>
      </c>
      <c r="G340" s="7" t="s">
        <v>1866</v>
      </c>
      <c r="H340" s="7" t="s">
        <v>1867</v>
      </c>
      <c r="I340" s="7" t="s">
        <v>1868</v>
      </c>
      <c r="J340" s="7"/>
      <c r="K340" s="7"/>
      <c r="L340" s="7"/>
      <c r="M340" s="7" t="s">
        <v>1869</v>
      </c>
      <c r="N340" s="7" t="s">
        <v>1870</v>
      </c>
      <c r="P340" s="5"/>
      <c r="Q340" s="5"/>
    </row>
    <row r="341" customFormat="false" ht="15" hidden="false" customHeight="true" outlineLevel="0" collapsed="false">
      <c r="A341" s="7" t="n">
        <v>340</v>
      </c>
      <c r="B341" s="7" t="s">
        <v>17</v>
      </c>
      <c r="C341" s="7" t="s">
        <v>31</v>
      </c>
      <c r="D341" s="7" t="s">
        <v>1303</v>
      </c>
      <c r="E341" s="7" t="s">
        <v>350</v>
      </c>
      <c r="F341" s="7" t="s">
        <v>351</v>
      </c>
      <c r="G341" s="7" t="s">
        <v>1871</v>
      </c>
      <c r="H341" s="7"/>
      <c r="I341" s="7" t="s">
        <v>1872</v>
      </c>
      <c r="J341" s="7"/>
      <c r="K341" s="7"/>
      <c r="L341" s="7"/>
      <c r="M341" s="7" t="s">
        <v>1873</v>
      </c>
      <c r="N341" s="7" t="s">
        <v>1874</v>
      </c>
      <c r="P341" s="5"/>
      <c r="Q341" s="5"/>
    </row>
    <row r="342" customFormat="false" ht="15" hidden="false" customHeight="true" outlineLevel="0" collapsed="false">
      <c r="A342" s="7" t="n">
        <v>341</v>
      </c>
      <c r="B342" s="7" t="s">
        <v>17</v>
      </c>
      <c r="C342" s="7" t="s">
        <v>1562</v>
      </c>
      <c r="D342" s="7" t="s">
        <v>1236</v>
      </c>
      <c r="E342" s="7" t="s">
        <v>1875</v>
      </c>
      <c r="F342" s="7" t="s">
        <v>1876</v>
      </c>
      <c r="G342" s="7" t="s">
        <v>1876</v>
      </c>
      <c r="H342" s="7"/>
      <c r="I342" s="7" t="s">
        <v>1872</v>
      </c>
      <c r="J342" s="7"/>
      <c r="K342" s="7"/>
      <c r="L342" s="7"/>
      <c r="M342" s="7" t="s">
        <v>1877</v>
      </c>
      <c r="N342" s="7" t="s">
        <v>1878</v>
      </c>
      <c r="P342" s="5"/>
      <c r="Q342" s="5"/>
    </row>
    <row r="343" customFormat="false" ht="15" hidden="false" customHeight="true" outlineLevel="0" collapsed="false">
      <c r="A343" s="7" t="n">
        <v>342</v>
      </c>
      <c r="B343" s="7" t="s">
        <v>17</v>
      </c>
      <c r="C343" s="7" t="s">
        <v>1589</v>
      </c>
      <c r="D343" s="7" t="s">
        <v>1213</v>
      </c>
      <c r="E343" s="7" t="s">
        <v>1879</v>
      </c>
      <c r="F343" s="7" t="s">
        <v>1880</v>
      </c>
      <c r="G343" s="7" t="s">
        <v>1881</v>
      </c>
      <c r="H343" s="7"/>
      <c r="I343" s="7" t="s">
        <v>1872</v>
      </c>
      <c r="J343" s="7"/>
      <c r="K343" s="7"/>
      <c r="L343" s="7"/>
      <c r="M343" s="7" t="s">
        <v>1882</v>
      </c>
      <c r="N343" s="7" t="s">
        <v>1883</v>
      </c>
      <c r="P343" s="5"/>
      <c r="Q343" s="5"/>
    </row>
    <row r="344" customFormat="false" ht="15" hidden="false" customHeight="true" outlineLevel="0" collapsed="false">
      <c r="A344" s="7" t="n">
        <v>343</v>
      </c>
      <c r="B344" s="7" t="s">
        <v>17</v>
      </c>
      <c r="C344" s="7" t="s">
        <v>1712</v>
      </c>
      <c r="D344" s="7" t="s">
        <v>1236</v>
      </c>
      <c r="E344" s="7" t="s">
        <v>1884</v>
      </c>
      <c r="F344" s="7" t="s">
        <v>1885</v>
      </c>
      <c r="G344" s="7" t="s">
        <v>1886</v>
      </c>
      <c r="H344" s="7"/>
      <c r="I344" s="7" t="s">
        <v>1872</v>
      </c>
      <c r="J344" s="7"/>
      <c r="K344" s="7"/>
      <c r="L344" s="7"/>
      <c r="M344" s="7" t="s">
        <v>1887</v>
      </c>
      <c r="N344" s="7" t="s">
        <v>1888</v>
      </c>
      <c r="P344" s="5"/>
      <c r="Q344" s="5"/>
    </row>
    <row r="345" customFormat="false" ht="15" hidden="false" customHeight="true" outlineLevel="0" collapsed="false">
      <c r="A345" s="5" t="n">
        <v>344</v>
      </c>
      <c r="B345" s="5" t="s">
        <v>1889</v>
      </c>
      <c r="C345" s="5" t="s">
        <v>1890</v>
      </c>
      <c r="D345" s="5" t="s">
        <v>1891</v>
      </c>
      <c r="E345" s="5" t="s">
        <v>1892</v>
      </c>
      <c r="F345" s="5" t="s">
        <v>1893</v>
      </c>
      <c r="G345" s="5" t="s">
        <v>1894</v>
      </c>
      <c r="H345" s="5" t="s">
        <v>1895</v>
      </c>
      <c r="I345" s="5" t="s">
        <v>24</v>
      </c>
      <c r="J345" s="5" t="s">
        <v>29</v>
      </c>
      <c r="K345" s="5"/>
      <c r="L345" s="5" t="s">
        <v>1896</v>
      </c>
      <c r="M345" s="5" t="s">
        <v>1897</v>
      </c>
      <c r="N345" s="5" t="s">
        <v>1898</v>
      </c>
      <c r="O345" s="1" t="s">
        <v>29</v>
      </c>
      <c r="P345" s="5" t="s">
        <v>30</v>
      </c>
      <c r="Q345" s="5"/>
    </row>
    <row r="346" customFormat="false" ht="15" hidden="false" customHeight="true" outlineLevel="0" collapsed="false">
      <c r="A346" s="5" t="n">
        <v>345</v>
      </c>
      <c r="B346" s="5" t="s">
        <v>1889</v>
      </c>
      <c r="C346" s="5" t="s">
        <v>1890</v>
      </c>
      <c r="D346" s="5" t="s">
        <v>1891</v>
      </c>
      <c r="E346" s="5" t="s">
        <v>1899</v>
      </c>
      <c r="F346" s="5" t="s">
        <v>1900</v>
      </c>
      <c r="G346" s="5" t="s">
        <v>1901</v>
      </c>
      <c r="H346" s="5" t="s">
        <v>1902</v>
      </c>
      <c r="I346" s="5" t="s">
        <v>24</v>
      </c>
      <c r="J346" s="5" t="s">
        <v>29</v>
      </c>
      <c r="K346" s="5"/>
      <c r="L346" s="5" t="s">
        <v>1896</v>
      </c>
      <c r="M346" s="5" t="s">
        <v>1903</v>
      </c>
      <c r="N346" s="5" t="s">
        <v>1904</v>
      </c>
      <c r="O346" s="1" t="s">
        <v>29</v>
      </c>
      <c r="P346" s="5" t="s">
        <v>922</v>
      </c>
      <c r="Q346" s="5" t="s">
        <v>1905</v>
      </c>
    </row>
    <row r="347" customFormat="false" ht="15" hidden="false" customHeight="true" outlineLevel="0" collapsed="false">
      <c r="A347" s="5" t="n">
        <v>346</v>
      </c>
      <c r="B347" s="5" t="s">
        <v>1889</v>
      </c>
      <c r="C347" s="5" t="s">
        <v>1890</v>
      </c>
      <c r="D347" s="5" t="s">
        <v>1891</v>
      </c>
      <c r="E347" s="5" t="s">
        <v>1906</v>
      </c>
      <c r="F347" s="5" t="s">
        <v>1900</v>
      </c>
      <c r="G347" s="5" t="s">
        <v>1907</v>
      </c>
      <c r="H347" s="5" t="s">
        <v>1908</v>
      </c>
      <c r="I347" s="5" t="s">
        <v>24</v>
      </c>
      <c r="J347" s="5" t="s">
        <v>29</v>
      </c>
      <c r="K347" s="5"/>
      <c r="L347" s="5" t="s">
        <v>1896</v>
      </c>
      <c r="M347" s="5" t="s">
        <v>1909</v>
      </c>
      <c r="N347" s="5" t="s">
        <v>1910</v>
      </c>
      <c r="O347" s="1" t="s">
        <v>29</v>
      </c>
      <c r="P347" s="5" t="s">
        <v>30</v>
      </c>
      <c r="Q347" s="5"/>
    </row>
    <row r="348" customFormat="false" ht="15" hidden="false" customHeight="true" outlineLevel="0" collapsed="false">
      <c r="A348" s="5" t="n">
        <v>347</v>
      </c>
      <c r="B348" s="5" t="s">
        <v>1889</v>
      </c>
      <c r="C348" s="5" t="s">
        <v>1890</v>
      </c>
      <c r="D348" s="5" t="s">
        <v>1911</v>
      </c>
      <c r="E348" s="5" t="s">
        <v>1912</v>
      </c>
      <c r="F348" s="5" t="s">
        <v>1913</v>
      </c>
      <c r="G348" s="5" t="s">
        <v>1914</v>
      </c>
      <c r="H348" s="5" t="s">
        <v>1915</v>
      </c>
      <c r="I348" s="5" t="s">
        <v>24</v>
      </c>
      <c r="J348" s="5" t="s">
        <v>29</v>
      </c>
      <c r="K348" s="5"/>
      <c r="L348" s="5" t="s">
        <v>1896</v>
      </c>
      <c r="M348" s="5" t="s">
        <v>1916</v>
      </c>
      <c r="N348" s="5" t="s">
        <v>1917</v>
      </c>
      <c r="O348" s="1" t="s">
        <v>29</v>
      </c>
      <c r="P348" s="5" t="s">
        <v>853</v>
      </c>
      <c r="Q348" s="5" t="s">
        <v>854</v>
      </c>
    </row>
    <row r="349" customFormat="false" ht="15" hidden="false" customHeight="true" outlineLevel="0" collapsed="false">
      <c r="A349" s="5" t="n">
        <v>348</v>
      </c>
      <c r="B349" s="5" t="s">
        <v>1889</v>
      </c>
      <c r="C349" s="5" t="s">
        <v>1890</v>
      </c>
      <c r="D349" s="5" t="s">
        <v>1911</v>
      </c>
      <c r="E349" s="5" t="s">
        <v>1918</v>
      </c>
      <c r="F349" s="5" t="s">
        <v>1919</v>
      </c>
      <c r="G349" s="5" t="s">
        <v>1920</v>
      </c>
      <c r="H349" s="5" t="s">
        <v>1921</v>
      </c>
      <c r="I349" s="5" t="s">
        <v>24</v>
      </c>
      <c r="J349" s="5" t="s">
        <v>29</v>
      </c>
      <c r="K349" s="5"/>
      <c r="L349" s="5" t="s">
        <v>1896</v>
      </c>
      <c r="M349" s="5" t="s">
        <v>1922</v>
      </c>
      <c r="N349" s="5" t="s">
        <v>1923</v>
      </c>
      <c r="O349" s="1" t="s">
        <v>29</v>
      </c>
      <c r="P349" s="5" t="s">
        <v>30</v>
      </c>
      <c r="Q349" s="5"/>
    </row>
    <row r="350" customFormat="false" ht="15" hidden="false" customHeight="true" outlineLevel="0" collapsed="false">
      <c r="A350" s="5" t="n">
        <v>349</v>
      </c>
      <c r="B350" s="5" t="s">
        <v>1889</v>
      </c>
      <c r="C350" s="5" t="s">
        <v>1890</v>
      </c>
      <c r="D350" s="5" t="s">
        <v>1911</v>
      </c>
      <c r="E350" s="5" t="s">
        <v>1924</v>
      </c>
      <c r="F350" s="5" t="s">
        <v>1925</v>
      </c>
      <c r="G350" s="5" t="s">
        <v>1926</v>
      </c>
      <c r="H350" s="5" t="s">
        <v>1927</v>
      </c>
      <c r="I350" s="5" t="s">
        <v>24</v>
      </c>
      <c r="J350" s="5" t="s">
        <v>29</v>
      </c>
      <c r="K350" s="5"/>
      <c r="L350" s="5" t="s">
        <v>1896</v>
      </c>
      <c r="M350" s="5" t="s">
        <v>1928</v>
      </c>
      <c r="N350" s="5" t="s">
        <v>1929</v>
      </c>
      <c r="O350" s="1" t="s">
        <v>29</v>
      </c>
      <c r="P350" s="5" t="s">
        <v>30</v>
      </c>
      <c r="Q350" s="5"/>
    </row>
    <row r="351" customFormat="false" ht="15" hidden="false" customHeight="true" outlineLevel="0" collapsed="false">
      <c r="A351" s="5" t="n">
        <v>350</v>
      </c>
      <c r="B351" s="5" t="s">
        <v>1889</v>
      </c>
      <c r="C351" s="5" t="s">
        <v>1890</v>
      </c>
      <c r="D351" s="5" t="s">
        <v>1930</v>
      </c>
      <c r="E351" s="5" t="s">
        <v>1931</v>
      </c>
      <c r="F351" s="5" t="s">
        <v>1932</v>
      </c>
      <c r="G351" s="5" t="s">
        <v>1933</v>
      </c>
      <c r="H351" s="5" t="s">
        <v>1934</v>
      </c>
      <c r="I351" s="5" t="s">
        <v>24</v>
      </c>
      <c r="J351" s="5" t="s">
        <v>29</v>
      </c>
      <c r="K351" s="5"/>
      <c r="L351" s="5" t="s">
        <v>1896</v>
      </c>
      <c r="M351" s="5" t="s">
        <v>1935</v>
      </c>
      <c r="N351" s="5" t="s">
        <v>1936</v>
      </c>
      <c r="O351" s="1" t="s">
        <v>29</v>
      </c>
      <c r="P351" s="5" t="s">
        <v>30</v>
      </c>
      <c r="Q351" s="5"/>
    </row>
    <row r="352" customFormat="false" ht="15" hidden="false" customHeight="true" outlineLevel="0" collapsed="false">
      <c r="A352" s="5" t="n">
        <v>351</v>
      </c>
      <c r="B352" s="5" t="s">
        <v>1889</v>
      </c>
      <c r="C352" s="5" t="s">
        <v>1890</v>
      </c>
      <c r="D352" s="5" t="s">
        <v>1911</v>
      </c>
      <c r="E352" s="5" t="s">
        <v>1937</v>
      </c>
      <c r="F352" s="5" t="s">
        <v>1938</v>
      </c>
      <c r="G352" s="5" t="s">
        <v>1939</v>
      </c>
      <c r="H352" s="5" t="s">
        <v>1940</v>
      </c>
      <c r="I352" s="5" t="s">
        <v>24</v>
      </c>
      <c r="J352" s="5" t="s">
        <v>29</v>
      </c>
      <c r="K352" s="5"/>
      <c r="L352" s="5" t="s">
        <v>1896</v>
      </c>
      <c r="M352" s="5" t="s">
        <v>1941</v>
      </c>
      <c r="N352" s="5" t="s">
        <v>1942</v>
      </c>
      <c r="O352" s="1" t="s">
        <v>29</v>
      </c>
      <c r="P352" s="5" t="s">
        <v>30</v>
      </c>
      <c r="Q352" s="5"/>
    </row>
    <row r="353" customFormat="false" ht="15" hidden="false" customHeight="true" outlineLevel="0" collapsed="false">
      <c r="A353" s="5" t="n">
        <v>352</v>
      </c>
      <c r="B353" s="5" t="s">
        <v>1889</v>
      </c>
      <c r="C353" s="5" t="s">
        <v>1890</v>
      </c>
      <c r="D353" s="5" t="s">
        <v>1930</v>
      </c>
      <c r="E353" s="5" t="s">
        <v>1943</v>
      </c>
      <c r="F353" s="5" t="s">
        <v>1944</v>
      </c>
      <c r="G353" s="5" t="s">
        <v>1945</v>
      </c>
      <c r="H353" s="5" t="s">
        <v>1946</v>
      </c>
      <c r="I353" s="5" t="s">
        <v>24</v>
      </c>
      <c r="J353" s="5" t="s">
        <v>29</v>
      </c>
      <c r="K353" s="5"/>
      <c r="L353" s="5" t="s">
        <v>1896</v>
      </c>
      <c r="M353" s="5" t="s">
        <v>1947</v>
      </c>
      <c r="N353" s="5" t="s">
        <v>1948</v>
      </c>
      <c r="O353" s="1" t="s">
        <v>29</v>
      </c>
      <c r="P353" s="5" t="s">
        <v>30</v>
      </c>
      <c r="Q353" s="5"/>
    </row>
    <row r="354" customFormat="false" ht="15" hidden="false" customHeight="true" outlineLevel="0" collapsed="false">
      <c r="A354" s="5" t="n">
        <v>353</v>
      </c>
      <c r="B354" s="5" t="s">
        <v>1889</v>
      </c>
      <c r="C354" s="5" t="s">
        <v>327</v>
      </c>
      <c r="D354" s="5" t="s">
        <v>1891</v>
      </c>
      <c r="E354" s="5" t="s">
        <v>1949</v>
      </c>
      <c r="F354" s="5" t="s">
        <v>867</v>
      </c>
      <c r="G354" s="5" t="s">
        <v>1950</v>
      </c>
      <c r="H354" s="5" t="s">
        <v>1951</v>
      </c>
      <c r="I354" s="5" t="s">
        <v>24</v>
      </c>
      <c r="J354" s="5" t="s">
        <v>29</v>
      </c>
      <c r="K354" s="5"/>
      <c r="L354" s="5" t="s">
        <v>1896</v>
      </c>
      <c r="M354" s="5" t="s">
        <v>1952</v>
      </c>
      <c r="N354" s="5" t="s">
        <v>1953</v>
      </c>
      <c r="O354" s="1" t="s">
        <v>29</v>
      </c>
      <c r="P354" s="5" t="s">
        <v>30</v>
      </c>
      <c r="Q354" s="5"/>
    </row>
    <row r="355" customFormat="false" ht="15" hidden="false" customHeight="true" outlineLevel="0" collapsed="false">
      <c r="A355" s="5" t="n">
        <v>354</v>
      </c>
      <c r="B355" s="5" t="s">
        <v>1889</v>
      </c>
      <c r="C355" s="5" t="s">
        <v>327</v>
      </c>
      <c r="D355" s="5" t="s">
        <v>1954</v>
      </c>
      <c r="E355" s="5" t="s">
        <v>1955</v>
      </c>
      <c r="F355" s="5" t="s">
        <v>1956</v>
      </c>
      <c r="G355" s="5" t="s">
        <v>1957</v>
      </c>
      <c r="H355" s="5" t="s">
        <v>1958</v>
      </c>
      <c r="I355" s="5" t="s">
        <v>24</v>
      </c>
      <c r="J355" s="5" t="s">
        <v>29</v>
      </c>
      <c r="K355" s="5"/>
      <c r="L355" s="5" t="s">
        <v>1896</v>
      </c>
      <c r="M355" s="5" t="s">
        <v>1959</v>
      </c>
      <c r="N355" s="5" t="s">
        <v>1960</v>
      </c>
      <c r="O355" s="1" t="s">
        <v>29</v>
      </c>
      <c r="P355" s="5" t="s">
        <v>30</v>
      </c>
      <c r="Q355" s="5"/>
    </row>
    <row r="356" customFormat="false" ht="15" hidden="false" customHeight="true" outlineLevel="0" collapsed="false">
      <c r="A356" s="5" t="n">
        <v>355</v>
      </c>
      <c r="B356" s="5" t="s">
        <v>1889</v>
      </c>
      <c r="C356" s="5" t="s">
        <v>327</v>
      </c>
      <c r="D356" s="5" t="s">
        <v>1911</v>
      </c>
      <c r="E356" s="5" t="s">
        <v>1961</v>
      </c>
      <c r="F356" s="5" t="s">
        <v>412</v>
      </c>
      <c r="G356" s="5" t="s">
        <v>1962</v>
      </c>
      <c r="H356" s="5" t="s">
        <v>1963</v>
      </c>
      <c r="I356" s="5" t="s">
        <v>24</v>
      </c>
      <c r="J356" s="5" t="s">
        <v>29</v>
      </c>
      <c r="K356" s="5"/>
      <c r="L356" s="5" t="s">
        <v>1896</v>
      </c>
      <c r="M356" s="5" t="s">
        <v>1964</v>
      </c>
      <c r="N356" s="5" t="s">
        <v>1965</v>
      </c>
      <c r="O356" s="1" t="s">
        <v>29</v>
      </c>
      <c r="P356" s="5" t="s">
        <v>853</v>
      </c>
      <c r="Q356" s="5" t="s">
        <v>1966</v>
      </c>
    </row>
    <row r="357" customFormat="false" ht="15" hidden="false" customHeight="true" outlineLevel="0" collapsed="false">
      <c r="A357" s="5" t="n">
        <v>356</v>
      </c>
      <c r="B357" s="5" t="s">
        <v>1889</v>
      </c>
      <c r="C357" s="5" t="s">
        <v>327</v>
      </c>
      <c r="D357" s="5" t="s">
        <v>1930</v>
      </c>
      <c r="E357" s="5" t="s">
        <v>1967</v>
      </c>
      <c r="F357" s="5" t="s">
        <v>329</v>
      </c>
      <c r="G357" s="5" t="s">
        <v>1968</v>
      </c>
      <c r="H357" s="5" t="s">
        <v>1969</v>
      </c>
      <c r="I357" s="5" t="s">
        <v>24</v>
      </c>
      <c r="J357" s="5" t="s">
        <v>29</v>
      </c>
      <c r="K357" s="5"/>
      <c r="L357" s="5" t="s">
        <v>1896</v>
      </c>
      <c r="M357" s="5" t="s">
        <v>1970</v>
      </c>
      <c r="N357" s="5" t="s">
        <v>1971</v>
      </c>
      <c r="O357" s="1" t="s">
        <v>29</v>
      </c>
      <c r="P357" s="5" t="s">
        <v>30</v>
      </c>
      <c r="Q357" s="5"/>
    </row>
    <row r="358" customFormat="false" ht="15" hidden="false" customHeight="true" outlineLevel="0" collapsed="false">
      <c r="A358" s="5" t="n">
        <v>357</v>
      </c>
      <c r="B358" s="5" t="s">
        <v>1889</v>
      </c>
      <c r="C358" s="5" t="s">
        <v>327</v>
      </c>
      <c r="D358" s="5" t="s">
        <v>1954</v>
      </c>
      <c r="E358" s="5" t="s">
        <v>1972</v>
      </c>
      <c r="F358" s="5" t="s">
        <v>1973</v>
      </c>
      <c r="G358" s="5" t="s">
        <v>1974</v>
      </c>
      <c r="H358" s="5" t="s">
        <v>1975</v>
      </c>
      <c r="I358" s="5" t="s">
        <v>24</v>
      </c>
      <c r="J358" s="5" t="s">
        <v>29</v>
      </c>
      <c r="K358" s="5"/>
      <c r="L358" s="5" t="s">
        <v>1896</v>
      </c>
      <c r="M358" s="5" t="s">
        <v>1976</v>
      </c>
      <c r="N358" s="5" t="s">
        <v>1977</v>
      </c>
      <c r="O358" s="1" t="s">
        <v>29</v>
      </c>
      <c r="P358" s="5" t="s">
        <v>30</v>
      </c>
      <c r="Q358" s="5"/>
    </row>
    <row r="359" customFormat="false" ht="15" hidden="false" customHeight="true" outlineLevel="0" collapsed="false">
      <c r="A359" s="5" t="n">
        <v>358</v>
      </c>
      <c r="B359" s="5" t="s">
        <v>1889</v>
      </c>
      <c r="C359" s="5" t="s">
        <v>327</v>
      </c>
      <c r="D359" s="5" t="s">
        <v>1930</v>
      </c>
      <c r="E359" s="5" t="s">
        <v>1978</v>
      </c>
      <c r="F359" s="5" t="s">
        <v>1979</v>
      </c>
      <c r="G359" s="5" t="s">
        <v>1980</v>
      </c>
      <c r="H359" s="5" t="s">
        <v>1981</v>
      </c>
      <c r="I359" s="5" t="s">
        <v>24</v>
      </c>
      <c r="J359" s="5" t="s">
        <v>29</v>
      </c>
      <c r="K359" s="5"/>
      <c r="L359" s="5" t="s">
        <v>1896</v>
      </c>
      <c r="M359" s="5" t="s">
        <v>1982</v>
      </c>
      <c r="N359" s="5" t="s">
        <v>1983</v>
      </c>
      <c r="O359" s="1" t="s">
        <v>29</v>
      </c>
      <c r="P359" s="5" t="s">
        <v>30</v>
      </c>
      <c r="Q359" s="5"/>
    </row>
    <row r="360" customFormat="false" ht="15" hidden="false" customHeight="true" outlineLevel="0" collapsed="false">
      <c r="A360" s="5" t="n">
        <v>359</v>
      </c>
      <c r="B360" s="5" t="s">
        <v>1889</v>
      </c>
      <c r="C360" s="5" t="s">
        <v>71</v>
      </c>
      <c r="D360" s="5" t="s">
        <v>1891</v>
      </c>
      <c r="E360" s="5" t="s">
        <v>1984</v>
      </c>
      <c r="F360" s="5" t="s">
        <v>1985</v>
      </c>
      <c r="G360" s="5" t="s">
        <v>1986</v>
      </c>
      <c r="H360" s="5" t="s">
        <v>1987</v>
      </c>
      <c r="I360" s="5" t="s">
        <v>24</v>
      </c>
      <c r="J360" s="5" t="s">
        <v>29</v>
      </c>
      <c r="K360" s="5"/>
      <c r="L360" s="5" t="s">
        <v>1896</v>
      </c>
      <c r="M360" s="5" t="s">
        <v>1988</v>
      </c>
      <c r="N360" s="5" t="s">
        <v>1989</v>
      </c>
      <c r="O360" s="1" t="s">
        <v>29</v>
      </c>
      <c r="P360" s="5" t="s">
        <v>30</v>
      </c>
      <c r="Q360" s="5"/>
    </row>
    <row r="361" customFormat="false" ht="15" hidden="false" customHeight="true" outlineLevel="0" collapsed="false">
      <c r="A361" s="5" t="n">
        <v>360</v>
      </c>
      <c r="B361" s="5" t="s">
        <v>1889</v>
      </c>
      <c r="C361" s="5" t="s">
        <v>71</v>
      </c>
      <c r="D361" s="5" t="s">
        <v>1891</v>
      </c>
      <c r="E361" s="5" t="s">
        <v>1990</v>
      </c>
      <c r="F361" s="5" t="s">
        <v>1991</v>
      </c>
      <c r="G361" s="5" t="s">
        <v>1992</v>
      </c>
      <c r="H361" s="5" t="s">
        <v>1993</v>
      </c>
      <c r="I361" s="5" t="s">
        <v>24</v>
      </c>
      <c r="J361" s="5" t="s">
        <v>29</v>
      </c>
      <c r="K361" s="5"/>
      <c r="L361" s="5" t="s">
        <v>1896</v>
      </c>
      <c r="M361" s="5" t="s">
        <v>1994</v>
      </c>
      <c r="N361" s="5" t="s">
        <v>1995</v>
      </c>
      <c r="O361" s="1" t="s">
        <v>29</v>
      </c>
      <c r="P361" s="5" t="s">
        <v>30</v>
      </c>
      <c r="Q361" s="5"/>
    </row>
    <row r="362" customFormat="false" ht="15" hidden="false" customHeight="true" outlineLevel="0" collapsed="false">
      <c r="A362" s="5" t="n">
        <v>361</v>
      </c>
      <c r="B362" s="5" t="s">
        <v>1889</v>
      </c>
      <c r="C362" s="5" t="s">
        <v>71</v>
      </c>
      <c r="D362" s="5" t="s">
        <v>1954</v>
      </c>
      <c r="E362" s="5" t="s">
        <v>1996</v>
      </c>
      <c r="F362" s="5" t="s">
        <v>1997</v>
      </c>
      <c r="G362" s="5" t="s">
        <v>1998</v>
      </c>
      <c r="H362" s="5" t="s">
        <v>1999</v>
      </c>
      <c r="I362" s="5" t="s">
        <v>24</v>
      </c>
      <c r="J362" s="5" t="s">
        <v>29</v>
      </c>
      <c r="K362" s="5"/>
      <c r="L362" s="5" t="s">
        <v>1896</v>
      </c>
      <c r="M362" s="5" t="s">
        <v>2000</v>
      </c>
      <c r="N362" s="5" t="s">
        <v>2001</v>
      </c>
      <c r="O362" s="1" t="s">
        <v>29</v>
      </c>
      <c r="P362" s="5" t="s">
        <v>853</v>
      </c>
      <c r="Q362" s="5" t="s">
        <v>854</v>
      </c>
    </row>
    <row r="363" customFormat="false" ht="15" hidden="false" customHeight="true" outlineLevel="0" collapsed="false">
      <c r="A363" s="5" t="n">
        <v>362</v>
      </c>
      <c r="B363" s="5" t="s">
        <v>1889</v>
      </c>
      <c r="C363" s="5" t="s">
        <v>71</v>
      </c>
      <c r="D363" s="5" t="s">
        <v>1891</v>
      </c>
      <c r="E363" s="5" t="s">
        <v>2002</v>
      </c>
      <c r="F363" s="5" t="s">
        <v>2003</v>
      </c>
      <c r="G363" s="5" t="s">
        <v>2004</v>
      </c>
      <c r="H363" s="5" t="s">
        <v>2005</v>
      </c>
      <c r="I363" s="5" t="s">
        <v>24</v>
      </c>
      <c r="J363" s="5" t="s">
        <v>29</v>
      </c>
      <c r="K363" s="5"/>
      <c r="L363" s="5" t="s">
        <v>1896</v>
      </c>
      <c r="M363" s="5" t="s">
        <v>2006</v>
      </c>
      <c r="N363" s="5" t="s">
        <v>2007</v>
      </c>
      <c r="O363" s="1" t="s">
        <v>29</v>
      </c>
      <c r="P363" s="5" t="s">
        <v>853</v>
      </c>
      <c r="Q363" s="5" t="s">
        <v>854</v>
      </c>
    </row>
    <row r="364" customFormat="false" ht="15" hidden="false" customHeight="true" outlineLevel="0" collapsed="false">
      <c r="A364" s="5" t="n">
        <v>363</v>
      </c>
      <c r="B364" s="5" t="s">
        <v>1889</v>
      </c>
      <c r="C364" s="5" t="s">
        <v>71</v>
      </c>
      <c r="D364" s="5" t="s">
        <v>1911</v>
      </c>
      <c r="E364" s="5" t="s">
        <v>866</v>
      </c>
      <c r="F364" s="5" t="s">
        <v>2008</v>
      </c>
      <c r="G364" s="5" t="s">
        <v>2009</v>
      </c>
      <c r="H364" s="5" t="s">
        <v>2010</v>
      </c>
      <c r="I364" s="5" t="s">
        <v>24</v>
      </c>
      <c r="J364" s="5" t="s">
        <v>29</v>
      </c>
      <c r="K364" s="5"/>
      <c r="L364" s="5" t="s">
        <v>1896</v>
      </c>
      <c r="M364" s="5" t="s">
        <v>2011</v>
      </c>
      <c r="N364" s="5" t="s">
        <v>2012</v>
      </c>
      <c r="O364" s="1" t="s">
        <v>29</v>
      </c>
      <c r="P364" s="5" t="s">
        <v>30</v>
      </c>
      <c r="Q364" s="5"/>
    </row>
    <row r="365" customFormat="false" ht="15" hidden="false" customHeight="true" outlineLevel="0" collapsed="false">
      <c r="A365" s="5" t="n">
        <v>364</v>
      </c>
      <c r="B365" s="5" t="s">
        <v>1889</v>
      </c>
      <c r="C365" s="5" t="s">
        <v>71</v>
      </c>
      <c r="D365" s="5" t="s">
        <v>1954</v>
      </c>
      <c r="E365" s="5" t="s">
        <v>2013</v>
      </c>
      <c r="F365" s="5" t="s">
        <v>2014</v>
      </c>
      <c r="G365" s="5" t="s">
        <v>2015</v>
      </c>
      <c r="H365" s="5" t="s">
        <v>2016</v>
      </c>
      <c r="I365" s="5" t="s">
        <v>24</v>
      </c>
      <c r="J365" s="5" t="s">
        <v>29</v>
      </c>
      <c r="K365" s="5"/>
      <c r="L365" s="5" t="s">
        <v>1896</v>
      </c>
      <c r="M365" s="5" t="s">
        <v>2017</v>
      </c>
      <c r="N365" s="5" t="s">
        <v>2018</v>
      </c>
      <c r="O365" s="1" t="s">
        <v>29</v>
      </c>
      <c r="P365" s="5" t="s">
        <v>30</v>
      </c>
      <c r="Q365" s="5"/>
    </row>
    <row r="366" customFormat="false" ht="15" hidden="false" customHeight="true" outlineLevel="0" collapsed="false">
      <c r="A366" s="5" t="n">
        <v>365</v>
      </c>
      <c r="B366" s="5" t="s">
        <v>1889</v>
      </c>
      <c r="C366" s="5" t="s">
        <v>71</v>
      </c>
      <c r="D366" s="5" t="s">
        <v>1911</v>
      </c>
      <c r="E366" s="5" t="s">
        <v>868</v>
      </c>
      <c r="F366" s="5" t="s">
        <v>2019</v>
      </c>
      <c r="G366" s="5" t="s">
        <v>2020</v>
      </c>
      <c r="H366" s="5" t="s">
        <v>2021</v>
      </c>
      <c r="I366" s="5" t="s">
        <v>24</v>
      </c>
      <c r="J366" s="5" t="s">
        <v>29</v>
      </c>
      <c r="K366" s="5"/>
      <c r="L366" s="5" t="s">
        <v>1896</v>
      </c>
      <c r="M366" s="5" t="s">
        <v>2022</v>
      </c>
      <c r="N366" s="5" t="s">
        <v>2023</v>
      </c>
      <c r="O366" s="1" t="s">
        <v>29</v>
      </c>
      <c r="P366" s="5" t="s">
        <v>30</v>
      </c>
      <c r="Q366" s="5"/>
    </row>
    <row r="367" customFormat="false" ht="15" hidden="false" customHeight="true" outlineLevel="0" collapsed="false">
      <c r="A367" s="5" t="n">
        <v>366</v>
      </c>
      <c r="B367" s="5" t="s">
        <v>1889</v>
      </c>
      <c r="C367" s="5" t="s">
        <v>334</v>
      </c>
      <c r="D367" s="5" t="s">
        <v>1891</v>
      </c>
      <c r="E367" s="5" t="s">
        <v>2024</v>
      </c>
      <c r="F367" s="5" t="s">
        <v>2025</v>
      </c>
      <c r="G367" s="5" t="s">
        <v>2026</v>
      </c>
      <c r="H367" s="5" t="s">
        <v>2027</v>
      </c>
      <c r="I367" s="5" t="s">
        <v>24</v>
      </c>
      <c r="J367" s="5" t="s">
        <v>29</v>
      </c>
      <c r="K367" s="5"/>
      <c r="L367" s="5" t="s">
        <v>1896</v>
      </c>
      <c r="M367" s="5" t="s">
        <v>2028</v>
      </c>
      <c r="N367" s="5" t="s">
        <v>2029</v>
      </c>
      <c r="O367" s="1" t="s">
        <v>29</v>
      </c>
      <c r="P367" s="5" t="s">
        <v>30</v>
      </c>
      <c r="Q367" s="5"/>
    </row>
    <row r="368" customFormat="false" ht="15" hidden="false" customHeight="true" outlineLevel="0" collapsed="false">
      <c r="A368" s="5" t="n">
        <v>367</v>
      </c>
      <c r="B368" s="5" t="s">
        <v>1889</v>
      </c>
      <c r="C368" s="5" t="s">
        <v>334</v>
      </c>
      <c r="D368" s="5" t="s">
        <v>1911</v>
      </c>
      <c r="E368" s="5" t="s">
        <v>2030</v>
      </c>
      <c r="F368" s="5" t="s">
        <v>2031</v>
      </c>
      <c r="G368" s="5" t="s">
        <v>2032</v>
      </c>
      <c r="H368" s="5" t="s">
        <v>2033</v>
      </c>
      <c r="I368" s="5" t="s">
        <v>24</v>
      </c>
      <c r="J368" s="5" t="s">
        <v>29</v>
      </c>
      <c r="K368" s="5"/>
      <c r="L368" s="5" t="s">
        <v>1896</v>
      </c>
      <c r="M368" s="5" t="s">
        <v>2034</v>
      </c>
      <c r="N368" s="5" t="s">
        <v>2035</v>
      </c>
      <c r="O368" s="1" t="s">
        <v>29</v>
      </c>
      <c r="P368" s="5" t="s">
        <v>30</v>
      </c>
      <c r="Q368" s="5"/>
    </row>
    <row r="369" customFormat="false" ht="15" hidden="false" customHeight="true" outlineLevel="0" collapsed="false">
      <c r="A369" s="5" t="n">
        <v>368</v>
      </c>
      <c r="B369" s="5" t="s">
        <v>1889</v>
      </c>
      <c r="C369" s="5" t="s">
        <v>334</v>
      </c>
      <c r="D369" s="5" t="s">
        <v>1930</v>
      </c>
      <c r="E369" s="5" t="s">
        <v>2036</v>
      </c>
      <c r="F369" s="5" t="s">
        <v>2037</v>
      </c>
      <c r="G369" s="5" t="s">
        <v>2038</v>
      </c>
      <c r="H369" s="5" t="s">
        <v>2039</v>
      </c>
      <c r="I369" s="5" t="s">
        <v>24</v>
      </c>
      <c r="J369" s="5" t="s">
        <v>29</v>
      </c>
      <c r="K369" s="5"/>
      <c r="L369" s="5" t="s">
        <v>1896</v>
      </c>
      <c r="M369" s="5" t="s">
        <v>2040</v>
      </c>
      <c r="N369" s="5" t="s">
        <v>2041</v>
      </c>
      <c r="O369" s="1" t="s">
        <v>29</v>
      </c>
      <c r="P369" s="5" t="s">
        <v>853</v>
      </c>
      <c r="Q369" s="5" t="s">
        <v>854</v>
      </c>
    </row>
    <row r="370" customFormat="false" ht="15" hidden="false" customHeight="true" outlineLevel="0" collapsed="false">
      <c r="A370" s="5" t="n">
        <v>369</v>
      </c>
      <c r="B370" s="5" t="s">
        <v>1889</v>
      </c>
      <c r="C370" s="5" t="s">
        <v>334</v>
      </c>
      <c r="D370" s="5" t="s">
        <v>1954</v>
      </c>
      <c r="E370" s="5" t="s">
        <v>2042</v>
      </c>
      <c r="F370" s="5" t="s">
        <v>867</v>
      </c>
      <c r="G370" s="5" t="s">
        <v>2043</v>
      </c>
      <c r="H370" s="5" t="s">
        <v>2044</v>
      </c>
      <c r="I370" s="5" t="s">
        <v>24</v>
      </c>
      <c r="J370" s="5" t="s">
        <v>29</v>
      </c>
      <c r="K370" s="5"/>
      <c r="L370" s="5" t="s">
        <v>1896</v>
      </c>
      <c r="M370" s="5" t="s">
        <v>2045</v>
      </c>
      <c r="N370" s="5" t="s">
        <v>2046</v>
      </c>
      <c r="O370" s="1" t="s">
        <v>29</v>
      </c>
      <c r="P370" s="5" t="s">
        <v>853</v>
      </c>
      <c r="Q370" s="5" t="s">
        <v>854</v>
      </c>
    </row>
    <row r="371" customFormat="false" ht="15" hidden="false" customHeight="true" outlineLevel="0" collapsed="false">
      <c r="A371" s="5" t="n">
        <v>370</v>
      </c>
      <c r="B371" s="5" t="s">
        <v>1889</v>
      </c>
      <c r="C371" s="5" t="s">
        <v>334</v>
      </c>
      <c r="D371" s="5" t="s">
        <v>1891</v>
      </c>
      <c r="E371" s="5" t="s">
        <v>2047</v>
      </c>
      <c r="F371" s="5" t="s">
        <v>2048</v>
      </c>
      <c r="G371" s="5" t="s">
        <v>2049</v>
      </c>
      <c r="H371" s="5" t="s">
        <v>2050</v>
      </c>
      <c r="I371" s="5" t="s">
        <v>24</v>
      </c>
      <c r="J371" s="5" t="s">
        <v>29</v>
      </c>
      <c r="K371" s="5"/>
      <c r="L371" s="5" t="s">
        <v>1896</v>
      </c>
      <c r="M371" s="5" t="s">
        <v>2051</v>
      </c>
      <c r="N371" s="5" t="s">
        <v>2052</v>
      </c>
      <c r="O371" s="1" t="s">
        <v>29</v>
      </c>
      <c r="P371" s="5" t="s">
        <v>30</v>
      </c>
      <c r="Q371" s="5"/>
    </row>
    <row r="372" customFormat="false" ht="15" hidden="false" customHeight="true" outlineLevel="0" collapsed="false">
      <c r="A372" s="5" t="n">
        <v>371</v>
      </c>
      <c r="B372" s="5" t="s">
        <v>1889</v>
      </c>
      <c r="C372" s="5" t="s">
        <v>416</v>
      </c>
      <c r="D372" s="5" t="s">
        <v>1891</v>
      </c>
      <c r="E372" s="5" t="s">
        <v>2053</v>
      </c>
      <c r="F372" s="5" t="s">
        <v>2054</v>
      </c>
      <c r="G372" s="5" t="s">
        <v>2055</v>
      </c>
      <c r="H372" s="5" t="s">
        <v>2056</v>
      </c>
      <c r="I372" s="5" t="s">
        <v>24</v>
      </c>
      <c r="J372" s="5" t="s">
        <v>29</v>
      </c>
      <c r="K372" s="5"/>
      <c r="L372" s="5" t="s">
        <v>1896</v>
      </c>
      <c r="M372" s="5" t="s">
        <v>2057</v>
      </c>
      <c r="N372" s="5" t="s">
        <v>2058</v>
      </c>
      <c r="O372" s="1" t="s">
        <v>29</v>
      </c>
      <c r="P372" s="5" t="s">
        <v>922</v>
      </c>
      <c r="Q372" s="5" t="s">
        <v>2059</v>
      </c>
    </row>
    <row r="373" customFormat="false" ht="15" hidden="false" customHeight="true" outlineLevel="0" collapsed="false">
      <c r="A373" s="5" t="n">
        <v>372</v>
      </c>
      <c r="B373" s="5" t="s">
        <v>1889</v>
      </c>
      <c r="C373" s="5" t="s">
        <v>416</v>
      </c>
      <c r="D373" s="5" t="s">
        <v>1891</v>
      </c>
      <c r="E373" s="5" t="s">
        <v>2060</v>
      </c>
      <c r="F373" s="5" t="s">
        <v>2061</v>
      </c>
      <c r="G373" s="5" t="s">
        <v>2062</v>
      </c>
      <c r="H373" s="5" t="s">
        <v>2063</v>
      </c>
      <c r="I373" s="5" t="s">
        <v>24</v>
      </c>
      <c r="J373" s="5" t="s">
        <v>29</v>
      </c>
      <c r="K373" s="5"/>
      <c r="L373" s="5" t="s">
        <v>1896</v>
      </c>
      <c r="M373" s="5" t="s">
        <v>2064</v>
      </c>
      <c r="N373" s="5" t="s">
        <v>2065</v>
      </c>
      <c r="O373" s="1" t="s">
        <v>29</v>
      </c>
      <c r="P373" s="5" t="s">
        <v>30</v>
      </c>
      <c r="Q373" s="5"/>
    </row>
    <row r="374" customFormat="false" ht="15" hidden="false" customHeight="true" outlineLevel="0" collapsed="false">
      <c r="A374" s="5" t="n">
        <v>373</v>
      </c>
      <c r="B374" s="5" t="s">
        <v>1889</v>
      </c>
      <c r="C374" s="5" t="s">
        <v>416</v>
      </c>
      <c r="D374" s="5" t="s">
        <v>1954</v>
      </c>
      <c r="E374" s="5" t="s">
        <v>2066</v>
      </c>
      <c r="F374" s="5" t="s">
        <v>2067</v>
      </c>
      <c r="G374" s="5" t="s">
        <v>2068</v>
      </c>
      <c r="H374" s="5" t="s">
        <v>2069</v>
      </c>
      <c r="I374" s="5" t="s">
        <v>24</v>
      </c>
      <c r="J374" s="5" t="s">
        <v>29</v>
      </c>
      <c r="K374" s="5"/>
      <c r="L374" s="5" t="s">
        <v>1896</v>
      </c>
      <c r="M374" s="5" t="s">
        <v>2070</v>
      </c>
      <c r="N374" s="5" t="s">
        <v>2071</v>
      </c>
      <c r="O374" s="1" t="s">
        <v>29</v>
      </c>
      <c r="P374" s="5" t="s">
        <v>30</v>
      </c>
      <c r="Q374" s="5"/>
    </row>
    <row r="375" customFormat="false" ht="15" hidden="false" customHeight="true" outlineLevel="0" collapsed="false">
      <c r="A375" s="5" t="n">
        <v>374</v>
      </c>
      <c r="B375" s="5" t="s">
        <v>1889</v>
      </c>
      <c r="C375" s="5" t="s">
        <v>416</v>
      </c>
      <c r="D375" s="5" t="s">
        <v>1954</v>
      </c>
      <c r="E375" s="5" t="s">
        <v>2072</v>
      </c>
      <c r="F375" s="5" t="s">
        <v>2073</v>
      </c>
      <c r="G375" s="5" t="s">
        <v>2074</v>
      </c>
      <c r="H375" s="5" t="s">
        <v>2075</v>
      </c>
      <c r="I375" s="5" t="s">
        <v>24</v>
      </c>
      <c r="J375" s="5" t="s">
        <v>29</v>
      </c>
      <c r="K375" s="5"/>
      <c r="L375" s="5" t="s">
        <v>1896</v>
      </c>
      <c r="M375" s="5" t="s">
        <v>2076</v>
      </c>
      <c r="N375" s="5" t="s">
        <v>2077</v>
      </c>
      <c r="O375" s="1" t="s">
        <v>29</v>
      </c>
      <c r="P375" s="5" t="s">
        <v>30</v>
      </c>
      <c r="Q375" s="5"/>
    </row>
    <row r="376" customFormat="false" ht="15" hidden="false" customHeight="true" outlineLevel="0" collapsed="false">
      <c r="A376" s="5" t="n">
        <v>375</v>
      </c>
      <c r="B376" s="5" t="s">
        <v>1889</v>
      </c>
      <c r="C376" s="5" t="s">
        <v>416</v>
      </c>
      <c r="D376" s="5" t="s">
        <v>1911</v>
      </c>
      <c r="E376" s="5" t="s">
        <v>417</v>
      </c>
      <c r="F376" s="5" t="s">
        <v>2078</v>
      </c>
      <c r="G376" s="5" t="s">
        <v>2079</v>
      </c>
      <c r="H376" s="5" t="s">
        <v>2080</v>
      </c>
      <c r="I376" s="5" t="s">
        <v>24</v>
      </c>
      <c r="J376" s="5" t="s">
        <v>29</v>
      </c>
      <c r="K376" s="5"/>
      <c r="L376" s="5" t="s">
        <v>1896</v>
      </c>
      <c r="M376" s="5" t="s">
        <v>2081</v>
      </c>
      <c r="N376" s="5" t="s">
        <v>2082</v>
      </c>
      <c r="O376" s="1" t="s">
        <v>29</v>
      </c>
      <c r="P376" s="5" t="s">
        <v>30</v>
      </c>
      <c r="Q376" s="5"/>
    </row>
    <row r="377" customFormat="false" ht="15" hidden="false" customHeight="true" outlineLevel="0" collapsed="false">
      <c r="A377" s="7" t="n">
        <v>376</v>
      </c>
      <c r="B377" s="7" t="s">
        <v>1889</v>
      </c>
      <c r="C377" s="7" t="s">
        <v>1890</v>
      </c>
      <c r="D377" s="7" t="s">
        <v>1954</v>
      </c>
      <c r="E377" s="7" t="s">
        <v>2083</v>
      </c>
      <c r="F377" s="7" t="s">
        <v>864</v>
      </c>
      <c r="G377" s="7" t="s">
        <v>2084</v>
      </c>
      <c r="H377" s="7" t="s">
        <v>2085</v>
      </c>
      <c r="I377" s="7" t="s">
        <v>2086</v>
      </c>
      <c r="J377" s="7"/>
      <c r="K377" s="7"/>
      <c r="L377" s="7"/>
      <c r="M377" s="7" t="s">
        <v>2087</v>
      </c>
      <c r="N377" s="7" t="s">
        <v>2088</v>
      </c>
      <c r="P377" s="5"/>
      <c r="Q377" s="5"/>
    </row>
    <row r="378" customFormat="false" ht="15" hidden="false" customHeight="true" outlineLevel="0" collapsed="false">
      <c r="A378" s="7" t="n">
        <v>377</v>
      </c>
      <c r="B378" s="7" t="s">
        <v>1889</v>
      </c>
      <c r="C378" s="7" t="s">
        <v>1890</v>
      </c>
      <c r="D378" s="7" t="s">
        <v>1954</v>
      </c>
      <c r="E378" s="7" t="s">
        <v>2089</v>
      </c>
      <c r="F378" s="7" t="s">
        <v>1925</v>
      </c>
      <c r="G378" s="7" t="s">
        <v>2090</v>
      </c>
      <c r="H378" s="7"/>
      <c r="I378" s="7" t="s">
        <v>1872</v>
      </c>
      <c r="J378" s="7"/>
      <c r="K378" s="7"/>
      <c r="L378" s="7"/>
      <c r="M378" s="7" t="s">
        <v>2091</v>
      </c>
      <c r="N378" s="7" t="s">
        <v>2092</v>
      </c>
      <c r="P378" s="5"/>
      <c r="Q378" s="5"/>
    </row>
    <row r="379" customFormat="false" ht="15" hidden="false" customHeight="true" outlineLevel="0" collapsed="false">
      <c r="A379" s="7" t="n">
        <v>378</v>
      </c>
      <c r="B379" s="7" t="s">
        <v>1889</v>
      </c>
      <c r="C379" s="7" t="s">
        <v>1890</v>
      </c>
      <c r="D379" s="7" t="s">
        <v>1891</v>
      </c>
      <c r="E379" s="7" t="s">
        <v>909</v>
      </c>
      <c r="F379" s="7" t="s">
        <v>2093</v>
      </c>
      <c r="G379" s="7" t="s">
        <v>2094</v>
      </c>
      <c r="H379" s="7"/>
      <c r="I379" s="7" t="s">
        <v>1872</v>
      </c>
      <c r="J379" s="7"/>
      <c r="K379" s="7"/>
      <c r="L379" s="7"/>
      <c r="M379" s="7" t="s">
        <v>2095</v>
      </c>
      <c r="N379" s="7" t="s">
        <v>2096</v>
      </c>
      <c r="P379" s="5"/>
      <c r="Q379" s="5"/>
    </row>
    <row r="380" customFormat="false" ht="15" hidden="false" customHeight="true" outlineLevel="0" collapsed="false">
      <c r="A380" s="7" t="n">
        <v>379</v>
      </c>
      <c r="B380" s="7" t="s">
        <v>1889</v>
      </c>
      <c r="C380" s="7" t="s">
        <v>1890</v>
      </c>
      <c r="D380" s="7" t="s">
        <v>1891</v>
      </c>
      <c r="E380" s="7" t="s">
        <v>2097</v>
      </c>
      <c r="F380" s="7" t="s">
        <v>2098</v>
      </c>
      <c r="G380" s="7" t="s">
        <v>2099</v>
      </c>
      <c r="H380" s="7" t="s">
        <v>2100</v>
      </c>
      <c r="I380" s="7" t="s">
        <v>2101</v>
      </c>
      <c r="J380" s="7"/>
      <c r="K380" s="7"/>
      <c r="L380" s="7"/>
      <c r="M380" s="7" t="s">
        <v>2102</v>
      </c>
      <c r="N380" s="7" t="s">
        <v>2103</v>
      </c>
      <c r="P380" s="5"/>
      <c r="Q380" s="5"/>
    </row>
    <row r="381" customFormat="false" ht="15" hidden="false" customHeight="true" outlineLevel="0" collapsed="false">
      <c r="A381" s="7" t="n">
        <v>380</v>
      </c>
      <c r="B381" s="7" t="s">
        <v>1889</v>
      </c>
      <c r="C381" s="7" t="s">
        <v>1890</v>
      </c>
      <c r="D381" s="7" t="s">
        <v>1930</v>
      </c>
      <c r="E381" s="7" t="s">
        <v>951</v>
      </c>
      <c r="F381" s="7" t="s">
        <v>2104</v>
      </c>
      <c r="G381" s="7" t="s">
        <v>2105</v>
      </c>
      <c r="H381" s="7"/>
      <c r="I381" s="7" t="s">
        <v>1872</v>
      </c>
      <c r="J381" s="7"/>
      <c r="K381" s="7"/>
      <c r="L381" s="7"/>
      <c r="M381" s="7" t="s">
        <v>2106</v>
      </c>
      <c r="N381" s="7" t="s">
        <v>2107</v>
      </c>
      <c r="P381" s="5"/>
      <c r="Q381" s="5"/>
    </row>
    <row r="382" customFormat="false" ht="15" hidden="false" customHeight="true" outlineLevel="0" collapsed="false">
      <c r="A382" s="7" t="n">
        <v>381</v>
      </c>
      <c r="B382" s="7" t="s">
        <v>1889</v>
      </c>
      <c r="C382" s="7" t="s">
        <v>1890</v>
      </c>
      <c r="D382" s="7" t="s">
        <v>1930</v>
      </c>
      <c r="E382" s="7" t="s">
        <v>817</v>
      </c>
      <c r="F382" s="7" t="s">
        <v>2108</v>
      </c>
      <c r="G382" s="7" t="s">
        <v>2109</v>
      </c>
      <c r="H382" s="7"/>
      <c r="I382" s="7" t="s">
        <v>1872</v>
      </c>
      <c r="J382" s="7"/>
      <c r="K382" s="7"/>
      <c r="L382" s="7"/>
      <c r="M382" s="7" t="s">
        <v>2110</v>
      </c>
      <c r="N382" s="7" t="s">
        <v>2111</v>
      </c>
      <c r="P382" s="5"/>
      <c r="Q382" s="5"/>
    </row>
    <row r="383" customFormat="false" ht="15" hidden="false" customHeight="true" outlineLevel="0" collapsed="false">
      <c r="A383" s="7" t="n">
        <v>382</v>
      </c>
      <c r="B383" s="7" t="s">
        <v>1889</v>
      </c>
      <c r="C383" s="7" t="s">
        <v>327</v>
      </c>
      <c r="D383" s="7" t="s">
        <v>1891</v>
      </c>
      <c r="E383" s="7" t="s">
        <v>2112</v>
      </c>
      <c r="F383" s="7" t="s">
        <v>2113</v>
      </c>
      <c r="G383" s="7" t="s">
        <v>2114</v>
      </c>
      <c r="H383" s="7" t="s">
        <v>2115</v>
      </c>
      <c r="I383" s="7" t="s">
        <v>2116</v>
      </c>
      <c r="J383" s="7"/>
      <c r="K383" s="7"/>
      <c r="L383" s="7"/>
      <c r="M383" s="7" t="s">
        <v>2117</v>
      </c>
      <c r="N383" s="7" t="s">
        <v>2118</v>
      </c>
      <c r="P383" s="5"/>
      <c r="Q383" s="5"/>
    </row>
    <row r="384" customFormat="false" ht="15" hidden="false" customHeight="true" outlineLevel="0" collapsed="false">
      <c r="A384" s="7" t="n">
        <v>383</v>
      </c>
      <c r="B384" s="7" t="s">
        <v>1889</v>
      </c>
      <c r="C384" s="7" t="s">
        <v>327</v>
      </c>
      <c r="D384" s="7" t="s">
        <v>1891</v>
      </c>
      <c r="E384" s="7" t="s">
        <v>2112</v>
      </c>
      <c r="F384" s="7" t="s">
        <v>2119</v>
      </c>
      <c r="G384" s="7" t="s">
        <v>2120</v>
      </c>
      <c r="H384" s="7" t="s">
        <v>2115</v>
      </c>
      <c r="I384" s="7" t="s">
        <v>2116</v>
      </c>
      <c r="J384" s="7"/>
      <c r="K384" s="7"/>
      <c r="L384" s="7"/>
      <c r="M384" s="7" t="s">
        <v>2121</v>
      </c>
      <c r="N384" s="7" t="s">
        <v>2122</v>
      </c>
      <c r="P384" s="5"/>
      <c r="Q384" s="5"/>
    </row>
    <row r="385" customFormat="false" ht="15" hidden="false" customHeight="true" outlineLevel="0" collapsed="false">
      <c r="A385" s="7" t="n">
        <v>384</v>
      </c>
      <c r="B385" s="7" t="s">
        <v>1889</v>
      </c>
      <c r="C385" s="7" t="s">
        <v>327</v>
      </c>
      <c r="D385" s="7" t="s">
        <v>1954</v>
      </c>
      <c r="E385" s="7" t="s">
        <v>411</v>
      </c>
      <c r="F385" s="7" t="s">
        <v>2123</v>
      </c>
      <c r="G385" s="7" t="s">
        <v>2124</v>
      </c>
      <c r="H385" s="7" t="s">
        <v>2125</v>
      </c>
      <c r="I385" s="7" t="s">
        <v>2126</v>
      </c>
      <c r="J385" s="7"/>
      <c r="K385" s="7"/>
      <c r="L385" s="7"/>
      <c r="M385" s="7" t="s">
        <v>2127</v>
      </c>
      <c r="N385" s="7" t="s">
        <v>2128</v>
      </c>
      <c r="P385" s="5"/>
      <c r="Q385" s="5"/>
    </row>
    <row r="386" customFormat="false" ht="15" hidden="false" customHeight="true" outlineLevel="0" collapsed="false">
      <c r="A386" s="7" t="n">
        <v>385</v>
      </c>
      <c r="B386" s="7" t="s">
        <v>1889</v>
      </c>
      <c r="C386" s="7" t="s">
        <v>327</v>
      </c>
      <c r="D386" s="7" t="s">
        <v>1954</v>
      </c>
      <c r="E386" s="7" t="s">
        <v>411</v>
      </c>
      <c r="F386" s="7" t="s">
        <v>2129</v>
      </c>
      <c r="G386" s="7" t="s">
        <v>2130</v>
      </c>
      <c r="H386" s="7" t="s">
        <v>2131</v>
      </c>
      <c r="I386" s="7" t="s">
        <v>2126</v>
      </c>
      <c r="J386" s="7"/>
      <c r="K386" s="7"/>
      <c r="L386" s="7"/>
      <c r="M386" s="7" t="s">
        <v>2132</v>
      </c>
      <c r="N386" s="7" t="s">
        <v>2133</v>
      </c>
      <c r="P386" s="5"/>
      <c r="Q386" s="5"/>
    </row>
    <row r="387" customFormat="false" ht="15" hidden="false" customHeight="true" outlineLevel="0" collapsed="false">
      <c r="A387" s="7" t="n">
        <v>386</v>
      </c>
      <c r="B387" s="7" t="s">
        <v>1889</v>
      </c>
      <c r="C387" s="7" t="s">
        <v>327</v>
      </c>
      <c r="D387" s="7" t="s">
        <v>1911</v>
      </c>
      <c r="E387" s="7" t="s">
        <v>2134</v>
      </c>
      <c r="F387" s="7" t="s">
        <v>329</v>
      </c>
      <c r="G387" s="7" t="s">
        <v>2135</v>
      </c>
      <c r="H387" s="7" t="s">
        <v>2136</v>
      </c>
      <c r="I387" s="7" t="s">
        <v>2137</v>
      </c>
      <c r="J387" s="7"/>
      <c r="K387" s="7"/>
      <c r="L387" s="7"/>
      <c r="M387" s="7" t="s">
        <v>2138</v>
      </c>
      <c r="N387" s="7" t="s">
        <v>2139</v>
      </c>
      <c r="P387" s="5"/>
      <c r="Q387" s="5"/>
    </row>
    <row r="388" customFormat="false" ht="15" hidden="false" customHeight="true" outlineLevel="0" collapsed="false">
      <c r="A388" s="7" t="n">
        <v>387</v>
      </c>
      <c r="B388" s="7" t="s">
        <v>1889</v>
      </c>
      <c r="C388" s="7" t="s">
        <v>327</v>
      </c>
      <c r="D388" s="7" t="s">
        <v>1930</v>
      </c>
      <c r="E388" s="7" t="s">
        <v>1972</v>
      </c>
      <c r="F388" s="7" t="s">
        <v>2140</v>
      </c>
      <c r="G388" s="7" t="s">
        <v>2141</v>
      </c>
      <c r="H388" s="7" t="s">
        <v>2142</v>
      </c>
      <c r="I388" s="7" t="s">
        <v>2143</v>
      </c>
      <c r="J388" s="7"/>
      <c r="K388" s="7"/>
      <c r="L388" s="7"/>
      <c r="M388" s="7" t="s">
        <v>2144</v>
      </c>
      <c r="N388" s="7" t="s">
        <v>2145</v>
      </c>
      <c r="P388" s="5"/>
      <c r="Q388" s="5"/>
    </row>
    <row r="389" customFormat="false" ht="15" hidden="false" customHeight="true" outlineLevel="0" collapsed="false">
      <c r="A389" s="7" t="n">
        <v>388</v>
      </c>
      <c r="B389" s="7" t="s">
        <v>1889</v>
      </c>
      <c r="C389" s="7" t="s">
        <v>327</v>
      </c>
      <c r="D389" s="7" t="s">
        <v>1930</v>
      </c>
      <c r="E389" s="7" t="s">
        <v>2146</v>
      </c>
      <c r="F389" s="7" t="s">
        <v>2147</v>
      </c>
      <c r="G389" s="7" t="s">
        <v>2148</v>
      </c>
      <c r="H389" s="7"/>
      <c r="I389" s="7" t="s">
        <v>1872</v>
      </c>
      <c r="J389" s="7"/>
      <c r="K389" s="7"/>
      <c r="L389" s="7"/>
      <c r="M389" s="7" t="s">
        <v>2149</v>
      </c>
      <c r="N389" s="7" t="s">
        <v>2150</v>
      </c>
      <c r="P389" s="5"/>
      <c r="Q389" s="5"/>
    </row>
    <row r="390" customFormat="false" ht="15" hidden="false" customHeight="true" outlineLevel="0" collapsed="false">
      <c r="A390" s="7" t="n">
        <v>389</v>
      </c>
      <c r="B390" s="7" t="s">
        <v>1889</v>
      </c>
      <c r="C390" s="7" t="s">
        <v>327</v>
      </c>
      <c r="D390" s="7" t="s">
        <v>1954</v>
      </c>
      <c r="E390" s="7" t="s">
        <v>2151</v>
      </c>
      <c r="F390" s="7" t="s">
        <v>2152</v>
      </c>
      <c r="G390" s="7" t="s">
        <v>2153</v>
      </c>
      <c r="H390" s="7"/>
      <c r="I390" s="7" t="s">
        <v>1872</v>
      </c>
      <c r="J390" s="7"/>
      <c r="K390" s="7"/>
      <c r="L390" s="7"/>
      <c r="M390" s="7" t="s">
        <v>2154</v>
      </c>
      <c r="N390" s="7" t="s">
        <v>2155</v>
      </c>
      <c r="P390" s="5"/>
      <c r="Q390" s="5"/>
    </row>
    <row r="391" customFormat="false" ht="15" hidden="false" customHeight="true" outlineLevel="0" collapsed="false">
      <c r="A391" s="7" t="n">
        <v>390</v>
      </c>
      <c r="B391" s="7" t="s">
        <v>1889</v>
      </c>
      <c r="C391" s="7" t="s">
        <v>327</v>
      </c>
      <c r="D391" s="7" t="s">
        <v>1954</v>
      </c>
      <c r="E391" s="7" t="s">
        <v>2156</v>
      </c>
      <c r="F391" s="7" t="s">
        <v>2157</v>
      </c>
      <c r="G391" s="7" t="s">
        <v>2158</v>
      </c>
      <c r="H391" s="7"/>
      <c r="I391" s="7" t="s">
        <v>1872</v>
      </c>
      <c r="J391" s="7"/>
      <c r="K391" s="7"/>
      <c r="L391" s="7"/>
      <c r="M391" s="7" t="s">
        <v>2159</v>
      </c>
      <c r="N391" s="7" t="s">
        <v>2160</v>
      </c>
      <c r="P391" s="5"/>
      <c r="Q391" s="5"/>
    </row>
    <row r="392" customFormat="false" ht="15" hidden="false" customHeight="true" outlineLevel="0" collapsed="false">
      <c r="A392" s="7" t="n">
        <v>391</v>
      </c>
      <c r="B392" s="7" t="s">
        <v>1889</v>
      </c>
      <c r="C392" s="7" t="s">
        <v>71</v>
      </c>
      <c r="D392" s="7" t="s">
        <v>1911</v>
      </c>
      <c r="E392" s="7" t="s">
        <v>2161</v>
      </c>
      <c r="F392" s="7" t="s">
        <v>2162</v>
      </c>
      <c r="G392" s="7" t="s">
        <v>2163</v>
      </c>
      <c r="H392" s="7" t="s">
        <v>2164</v>
      </c>
      <c r="I392" s="7" t="s">
        <v>2165</v>
      </c>
      <c r="J392" s="7"/>
      <c r="K392" s="7"/>
      <c r="L392" s="7"/>
      <c r="M392" s="7" t="s">
        <v>2166</v>
      </c>
      <c r="N392" s="7" t="s">
        <v>2167</v>
      </c>
      <c r="P392" s="5"/>
      <c r="Q392" s="5"/>
    </row>
    <row r="393" customFormat="false" ht="15" hidden="false" customHeight="true" outlineLevel="0" collapsed="false">
      <c r="A393" s="7" t="n">
        <v>392</v>
      </c>
      <c r="B393" s="7" t="s">
        <v>1889</v>
      </c>
      <c r="C393" s="7" t="s">
        <v>71</v>
      </c>
      <c r="D393" s="7" t="s">
        <v>1930</v>
      </c>
      <c r="E393" s="7" t="s">
        <v>2168</v>
      </c>
      <c r="F393" s="7" t="s">
        <v>2169</v>
      </c>
      <c r="G393" s="7" t="s">
        <v>2170</v>
      </c>
      <c r="H393" s="7" t="s">
        <v>2171</v>
      </c>
      <c r="I393" s="7" t="s">
        <v>2172</v>
      </c>
      <c r="J393" s="7"/>
      <c r="K393" s="7"/>
      <c r="L393" s="7"/>
      <c r="M393" s="7" t="s">
        <v>2173</v>
      </c>
      <c r="N393" s="7" t="s">
        <v>2174</v>
      </c>
      <c r="P393" s="5"/>
      <c r="Q393" s="5"/>
    </row>
    <row r="394" customFormat="false" ht="15" hidden="false" customHeight="true" outlineLevel="0" collapsed="false">
      <c r="A394" s="7" t="n">
        <v>393</v>
      </c>
      <c r="B394" s="7" t="s">
        <v>1889</v>
      </c>
      <c r="C394" s="7" t="s">
        <v>71</v>
      </c>
      <c r="D394" s="7" t="s">
        <v>1930</v>
      </c>
      <c r="E394" s="7" t="s">
        <v>2175</v>
      </c>
      <c r="F394" s="7" t="s">
        <v>2176</v>
      </c>
      <c r="G394" s="7" t="s">
        <v>2177</v>
      </c>
      <c r="H394" s="7" t="s">
        <v>2178</v>
      </c>
      <c r="I394" s="7" t="s">
        <v>2179</v>
      </c>
      <c r="J394" s="7"/>
      <c r="K394" s="7"/>
      <c r="L394" s="7"/>
      <c r="M394" s="7" t="s">
        <v>2180</v>
      </c>
      <c r="N394" s="7" t="s">
        <v>2181</v>
      </c>
      <c r="P394" s="5"/>
      <c r="Q394" s="5"/>
    </row>
    <row r="395" customFormat="false" ht="15" hidden="false" customHeight="true" outlineLevel="0" collapsed="false">
      <c r="A395" s="7" t="n">
        <v>394</v>
      </c>
      <c r="B395" s="7" t="s">
        <v>1889</v>
      </c>
      <c r="C395" s="7" t="s">
        <v>71</v>
      </c>
      <c r="D395" s="7" t="s">
        <v>1911</v>
      </c>
      <c r="E395" s="7" t="s">
        <v>2182</v>
      </c>
      <c r="F395" s="7" t="s">
        <v>2183</v>
      </c>
      <c r="G395" s="7" t="s">
        <v>2184</v>
      </c>
      <c r="H395" s="7" t="s">
        <v>2185</v>
      </c>
      <c r="I395" s="7" t="s">
        <v>2186</v>
      </c>
      <c r="J395" s="7"/>
      <c r="K395" s="7"/>
      <c r="L395" s="7"/>
      <c r="M395" s="7" t="s">
        <v>2187</v>
      </c>
      <c r="N395" s="7" t="s">
        <v>2188</v>
      </c>
      <c r="P395" s="5"/>
      <c r="Q395" s="5"/>
    </row>
    <row r="396" customFormat="false" ht="15" hidden="false" customHeight="true" outlineLevel="0" collapsed="false">
      <c r="A396" s="7" t="n">
        <v>395</v>
      </c>
      <c r="B396" s="7" t="s">
        <v>1889</v>
      </c>
      <c r="C396" s="7" t="s">
        <v>334</v>
      </c>
      <c r="D396" s="7" t="s">
        <v>1930</v>
      </c>
      <c r="E396" s="7" t="s">
        <v>2189</v>
      </c>
      <c r="F396" s="7" t="s">
        <v>2190</v>
      </c>
      <c r="G396" s="7" t="s">
        <v>2191</v>
      </c>
      <c r="H396" s="7"/>
      <c r="I396" s="7" t="s">
        <v>1872</v>
      </c>
      <c r="J396" s="7"/>
      <c r="K396" s="7"/>
      <c r="L396" s="7"/>
      <c r="M396" s="7" t="s">
        <v>2192</v>
      </c>
      <c r="N396" s="7" t="s">
        <v>2193</v>
      </c>
      <c r="P396" s="5"/>
      <c r="Q396" s="5"/>
    </row>
    <row r="397" customFormat="false" ht="15" hidden="false" customHeight="true" outlineLevel="0" collapsed="false">
      <c r="A397" s="7" t="n">
        <v>396</v>
      </c>
      <c r="B397" s="7" t="s">
        <v>1889</v>
      </c>
      <c r="C397" s="7" t="s">
        <v>334</v>
      </c>
      <c r="D397" s="7" t="s">
        <v>1930</v>
      </c>
      <c r="E397" s="7" t="s">
        <v>2194</v>
      </c>
      <c r="F397" s="7" t="s">
        <v>2195</v>
      </c>
      <c r="G397" s="7" t="s">
        <v>2196</v>
      </c>
      <c r="H397" s="7" t="s">
        <v>2197</v>
      </c>
      <c r="I397" s="7" t="s">
        <v>2198</v>
      </c>
      <c r="J397" s="7"/>
      <c r="K397" s="7"/>
      <c r="L397" s="7"/>
      <c r="M397" s="7" t="s">
        <v>2199</v>
      </c>
      <c r="N397" s="7" t="s">
        <v>2200</v>
      </c>
      <c r="P397" s="5"/>
      <c r="Q397" s="5"/>
    </row>
    <row r="398" customFormat="false" ht="15" hidden="false" customHeight="true" outlineLevel="0" collapsed="false">
      <c r="A398" s="7" t="n">
        <v>397</v>
      </c>
      <c r="B398" s="7" t="s">
        <v>1889</v>
      </c>
      <c r="C398" s="7" t="s">
        <v>416</v>
      </c>
      <c r="D398" s="7" t="s">
        <v>1954</v>
      </c>
      <c r="E398" s="7" t="s">
        <v>2066</v>
      </c>
      <c r="F398" s="7" t="s">
        <v>2201</v>
      </c>
      <c r="G398" s="7" t="s">
        <v>2202</v>
      </c>
      <c r="H398" s="7" t="s">
        <v>2069</v>
      </c>
      <c r="I398" s="7" t="s">
        <v>2203</v>
      </c>
      <c r="J398" s="7"/>
      <c r="K398" s="7"/>
      <c r="L398" s="7"/>
      <c r="M398" s="7" t="s">
        <v>2070</v>
      </c>
      <c r="N398" s="7" t="s">
        <v>2204</v>
      </c>
      <c r="P398" s="5"/>
      <c r="Q398" s="5"/>
    </row>
    <row r="399" customFormat="false" ht="15" hidden="false" customHeight="true" outlineLevel="0" collapsed="false">
      <c r="A399" s="7" t="n">
        <v>398</v>
      </c>
      <c r="B399" s="7" t="s">
        <v>1889</v>
      </c>
      <c r="C399" s="7" t="s">
        <v>416</v>
      </c>
      <c r="D399" s="7" t="s">
        <v>1954</v>
      </c>
      <c r="E399" s="7" t="s">
        <v>2205</v>
      </c>
      <c r="F399" s="7" t="s">
        <v>2206</v>
      </c>
      <c r="G399" s="7" t="s">
        <v>2207</v>
      </c>
      <c r="H399" s="7"/>
      <c r="I399" s="7" t="s">
        <v>1872</v>
      </c>
      <c r="J399" s="7"/>
      <c r="K399" s="7"/>
      <c r="L399" s="7"/>
      <c r="M399" s="7" t="s">
        <v>2208</v>
      </c>
      <c r="N399" s="7" t="s">
        <v>2209</v>
      </c>
      <c r="P399" s="5"/>
      <c r="Q399" s="5"/>
    </row>
    <row r="400" customFormat="false" ht="15" hidden="false" customHeight="true" outlineLevel="0" collapsed="false">
      <c r="A400" s="7" t="n">
        <v>399</v>
      </c>
      <c r="B400" s="7" t="s">
        <v>1889</v>
      </c>
      <c r="C400" s="7" t="s">
        <v>416</v>
      </c>
      <c r="D400" s="7" t="s">
        <v>1911</v>
      </c>
      <c r="E400" s="7" t="s">
        <v>878</v>
      </c>
      <c r="F400" s="7" t="s">
        <v>879</v>
      </c>
      <c r="G400" s="7" t="s">
        <v>1803</v>
      </c>
      <c r="H400" s="7"/>
      <c r="I400" s="7" t="s">
        <v>1872</v>
      </c>
      <c r="J400" s="7"/>
      <c r="K400" s="7"/>
      <c r="L400" s="7"/>
      <c r="M400" s="7" t="s">
        <v>2210</v>
      </c>
      <c r="N400" s="7" t="s">
        <v>2211</v>
      </c>
      <c r="P400" s="5"/>
      <c r="Q400" s="5"/>
    </row>
    <row r="401" customFormat="false" ht="15" hidden="false" customHeight="true" outlineLevel="0" collapsed="false">
      <c r="A401" s="7" t="n">
        <v>400</v>
      </c>
      <c r="B401" s="7" t="s">
        <v>1889</v>
      </c>
      <c r="C401" s="7" t="s">
        <v>416</v>
      </c>
      <c r="D401" s="7" t="s">
        <v>1911</v>
      </c>
      <c r="E401" s="7" t="s">
        <v>2212</v>
      </c>
      <c r="F401" s="7" t="s">
        <v>2213</v>
      </c>
      <c r="G401" s="7" t="s">
        <v>2214</v>
      </c>
      <c r="H401" s="7" t="s">
        <v>2215</v>
      </c>
      <c r="I401" s="7" t="s">
        <v>2216</v>
      </c>
      <c r="J401" s="7"/>
      <c r="K401" s="7"/>
      <c r="L401" s="7"/>
      <c r="M401" s="7" t="s">
        <v>2217</v>
      </c>
      <c r="N401" s="7" t="s">
        <v>2218</v>
      </c>
      <c r="P401" s="5"/>
      <c r="Q401" s="5"/>
    </row>
    <row r="402" customFormat="false" ht="15" hidden="false" customHeight="true" outlineLevel="0" collapsed="false">
      <c r="A402" s="7" t="n">
        <v>401</v>
      </c>
      <c r="B402" s="7" t="s">
        <v>1889</v>
      </c>
      <c r="C402" s="7" t="s">
        <v>416</v>
      </c>
      <c r="D402" s="7" t="s">
        <v>1954</v>
      </c>
      <c r="E402" s="7" t="s">
        <v>2219</v>
      </c>
      <c r="F402" s="7" t="s">
        <v>2220</v>
      </c>
      <c r="G402" s="7" t="s">
        <v>2221</v>
      </c>
      <c r="H402" s="7"/>
      <c r="I402" s="7" t="s">
        <v>1872</v>
      </c>
      <c r="J402" s="7"/>
      <c r="K402" s="7"/>
      <c r="L402" s="7"/>
      <c r="M402" s="7" t="s">
        <v>2222</v>
      </c>
      <c r="N402" s="7" t="s">
        <v>2223</v>
      </c>
      <c r="P402" s="5"/>
      <c r="Q402" s="5"/>
    </row>
    <row r="403" customFormat="false" ht="15" hidden="false" customHeight="true" outlineLevel="0" collapsed="false">
      <c r="A403" s="5" t="n">
        <v>402</v>
      </c>
      <c r="B403" s="5" t="s">
        <v>1889</v>
      </c>
      <c r="C403" s="5" t="s">
        <v>327</v>
      </c>
      <c r="D403" s="5" t="s">
        <v>1954</v>
      </c>
      <c r="E403" s="5" t="s">
        <v>411</v>
      </c>
      <c r="F403" s="5" t="s">
        <v>2123</v>
      </c>
      <c r="G403" s="5" t="s">
        <v>2124</v>
      </c>
      <c r="H403" s="5" t="s">
        <v>2224</v>
      </c>
      <c r="I403" s="5" t="s">
        <v>24</v>
      </c>
      <c r="J403" s="5" t="s">
        <v>29</v>
      </c>
      <c r="K403" s="5" t="s">
        <v>2225</v>
      </c>
      <c r="L403" s="5" t="s">
        <v>2226</v>
      </c>
      <c r="M403" s="5" t="s">
        <v>2227</v>
      </c>
      <c r="N403" s="5" t="s">
        <v>2228</v>
      </c>
      <c r="O403" s="1" t="s">
        <v>29</v>
      </c>
      <c r="P403" s="5" t="s">
        <v>690</v>
      </c>
      <c r="Q403" s="5" t="s">
        <v>2229</v>
      </c>
    </row>
    <row r="404" customFormat="false" ht="15" hidden="false" customHeight="true" outlineLevel="0" collapsed="false">
      <c r="A404" s="5" t="n">
        <v>403</v>
      </c>
      <c r="B404" s="5" t="s">
        <v>2230</v>
      </c>
      <c r="C404" s="5" t="s">
        <v>2231</v>
      </c>
      <c r="D404" s="5" t="s">
        <v>2232</v>
      </c>
      <c r="E404" s="5" t="s">
        <v>2233</v>
      </c>
      <c r="F404" s="5" t="s">
        <v>2234</v>
      </c>
      <c r="G404" s="5" t="s">
        <v>2235</v>
      </c>
      <c r="H404" s="5" t="s">
        <v>2236</v>
      </c>
      <c r="I404" s="5" t="s">
        <v>24</v>
      </c>
      <c r="J404" s="5" t="s">
        <v>29</v>
      </c>
      <c r="K404" s="5"/>
      <c r="L404" s="5" t="s">
        <v>2237</v>
      </c>
      <c r="M404" s="5" t="s">
        <v>2238</v>
      </c>
      <c r="N404" s="5" t="s">
        <v>2239</v>
      </c>
      <c r="O404" s="1" t="s">
        <v>29</v>
      </c>
      <c r="P404" s="5" t="s">
        <v>30</v>
      </c>
      <c r="Q404" s="5"/>
    </row>
    <row r="405" customFormat="false" ht="15" hidden="false" customHeight="true" outlineLevel="0" collapsed="false">
      <c r="A405" s="5" t="n">
        <v>404</v>
      </c>
      <c r="B405" s="5" t="s">
        <v>2230</v>
      </c>
      <c r="C405" s="5" t="s">
        <v>2231</v>
      </c>
      <c r="D405" s="5" t="s">
        <v>2232</v>
      </c>
      <c r="E405" s="5" t="s">
        <v>2240</v>
      </c>
      <c r="F405" s="5" t="s">
        <v>2241</v>
      </c>
      <c r="G405" s="5" t="s">
        <v>2242</v>
      </c>
      <c r="H405" s="5" t="s">
        <v>2243</v>
      </c>
      <c r="I405" s="5" t="s">
        <v>24</v>
      </c>
      <c r="J405" s="5" t="s">
        <v>29</v>
      </c>
      <c r="K405" s="5"/>
      <c r="L405" s="5" t="s">
        <v>2237</v>
      </c>
      <c r="M405" s="5" t="s">
        <v>2244</v>
      </c>
      <c r="N405" s="5" t="s">
        <v>2245</v>
      </c>
      <c r="O405" s="1" t="s">
        <v>29</v>
      </c>
      <c r="P405" s="5" t="s">
        <v>30</v>
      </c>
      <c r="Q405" s="5"/>
    </row>
    <row r="406" customFormat="false" ht="15" hidden="false" customHeight="true" outlineLevel="0" collapsed="false">
      <c r="A406" s="5" t="n">
        <v>405</v>
      </c>
      <c r="B406" s="5" t="s">
        <v>2230</v>
      </c>
      <c r="C406" s="5" t="s">
        <v>2231</v>
      </c>
      <c r="D406" s="5" t="s">
        <v>2232</v>
      </c>
      <c r="E406" s="5" t="s">
        <v>2246</v>
      </c>
      <c r="F406" s="5" t="s">
        <v>2247</v>
      </c>
      <c r="G406" s="5" t="s">
        <v>2248</v>
      </c>
      <c r="H406" s="5" t="s">
        <v>2249</v>
      </c>
      <c r="I406" s="5" t="s">
        <v>24</v>
      </c>
      <c r="J406" s="5" t="s">
        <v>29</v>
      </c>
      <c r="K406" s="5"/>
      <c r="L406" s="5" t="s">
        <v>2237</v>
      </c>
      <c r="M406" s="5" t="s">
        <v>2250</v>
      </c>
      <c r="N406" s="5" t="s">
        <v>2251</v>
      </c>
      <c r="O406" s="1" t="s">
        <v>29</v>
      </c>
      <c r="P406" s="5" t="s">
        <v>853</v>
      </c>
      <c r="Q406" s="5" t="s">
        <v>854</v>
      </c>
    </row>
    <row r="407" customFormat="false" ht="15" hidden="false" customHeight="true" outlineLevel="0" collapsed="false">
      <c r="A407" s="5" t="n">
        <v>406</v>
      </c>
      <c r="B407" s="5" t="s">
        <v>2230</v>
      </c>
      <c r="C407" s="5" t="s">
        <v>2231</v>
      </c>
      <c r="D407" s="5" t="s">
        <v>2232</v>
      </c>
      <c r="E407" s="5" t="s">
        <v>2252</v>
      </c>
      <c r="F407" s="5" t="s">
        <v>2253</v>
      </c>
      <c r="G407" s="5" t="s">
        <v>2254</v>
      </c>
      <c r="H407" s="5" t="s">
        <v>2255</v>
      </c>
      <c r="I407" s="5" t="s">
        <v>24</v>
      </c>
      <c r="J407" s="5" t="s">
        <v>29</v>
      </c>
      <c r="K407" s="5"/>
      <c r="L407" s="5" t="s">
        <v>2237</v>
      </c>
      <c r="M407" s="5" t="s">
        <v>2256</v>
      </c>
      <c r="N407" s="5" t="s">
        <v>2257</v>
      </c>
      <c r="O407" s="1" t="s">
        <v>29</v>
      </c>
      <c r="P407" s="5" t="s">
        <v>30</v>
      </c>
      <c r="Q407" s="5"/>
    </row>
    <row r="408" customFormat="false" ht="15" hidden="false" customHeight="true" outlineLevel="0" collapsed="false">
      <c r="A408" s="5" t="n">
        <v>407</v>
      </c>
      <c r="B408" s="5" t="s">
        <v>2230</v>
      </c>
      <c r="C408" s="5" t="s">
        <v>2231</v>
      </c>
      <c r="D408" s="5" t="s">
        <v>2258</v>
      </c>
      <c r="E408" s="5" t="s">
        <v>2259</v>
      </c>
      <c r="F408" s="5" t="s">
        <v>2260</v>
      </c>
      <c r="G408" s="5" t="s">
        <v>2261</v>
      </c>
      <c r="H408" s="5" t="s">
        <v>2262</v>
      </c>
      <c r="I408" s="5" t="s">
        <v>24</v>
      </c>
      <c r="J408" s="5" t="s">
        <v>29</v>
      </c>
      <c r="K408" s="5"/>
      <c r="L408" s="5" t="s">
        <v>2237</v>
      </c>
      <c r="M408" s="5" t="s">
        <v>2263</v>
      </c>
      <c r="N408" s="5" t="s">
        <v>2264</v>
      </c>
      <c r="O408" s="1" t="s">
        <v>29</v>
      </c>
      <c r="P408" s="5" t="s">
        <v>30</v>
      </c>
      <c r="Q408" s="5"/>
    </row>
    <row r="409" customFormat="false" ht="15" hidden="false" customHeight="true" outlineLevel="0" collapsed="false">
      <c r="A409" s="5" t="n">
        <v>408</v>
      </c>
      <c r="B409" s="5" t="s">
        <v>2230</v>
      </c>
      <c r="C409" s="5" t="s">
        <v>2231</v>
      </c>
      <c r="D409" s="5" t="s">
        <v>2265</v>
      </c>
      <c r="E409" s="5" t="s">
        <v>2266</v>
      </c>
      <c r="F409" s="5" t="s">
        <v>2267</v>
      </c>
      <c r="G409" s="5" t="s">
        <v>2268</v>
      </c>
      <c r="H409" s="5" t="s">
        <v>2269</v>
      </c>
      <c r="I409" s="5" t="s">
        <v>24</v>
      </c>
      <c r="J409" s="5" t="s">
        <v>29</v>
      </c>
      <c r="K409" s="5"/>
      <c r="L409" s="5" t="s">
        <v>2237</v>
      </c>
      <c r="M409" s="5" t="s">
        <v>2270</v>
      </c>
      <c r="N409" s="5" t="s">
        <v>2271</v>
      </c>
      <c r="O409" s="1" t="s">
        <v>29</v>
      </c>
      <c r="P409" s="5" t="s">
        <v>30</v>
      </c>
      <c r="Q409" s="5"/>
    </row>
    <row r="410" customFormat="false" ht="15" hidden="false" customHeight="true" outlineLevel="0" collapsed="false">
      <c r="A410" s="5" t="n">
        <v>409</v>
      </c>
      <c r="B410" s="5" t="s">
        <v>2230</v>
      </c>
      <c r="C410" s="5" t="s">
        <v>2231</v>
      </c>
      <c r="D410" s="5" t="s">
        <v>2272</v>
      </c>
      <c r="E410" s="5" t="s">
        <v>2273</v>
      </c>
      <c r="F410" s="5" t="s">
        <v>2274</v>
      </c>
      <c r="G410" s="5" t="s">
        <v>2275</v>
      </c>
      <c r="H410" s="5" t="s">
        <v>2276</v>
      </c>
      <c r="I410" s="5" t="s">
        <v>24</v>
      </c>
      <c r="J410" s="5" t="s">
        <v>29</v>
      </c>
      <c r="K410" s="5"/>
      <c r="L410" s="5" t="s">
        <v>2237</v>
      </c>
      <c r="M410" s="5" t="s">
        <v>2277</v>
      </c>
      <c r="N410" s="5" t="s">
        <v>2278</v>
      </c>
      <c r="O410" s="1" t="s">
        <v>29</v>
      </c>
      <c r="P410" s="5" t="s">
        <v>30</v>
      </c>
      <c r="Q410" s="5"/>
    </row>
    <row r="411" customFormat="false" ht="15" hidden="false" customHeight="true" outlineLevel="0" collapsed="false">
      <c r="A411" s="5" t="n">
        <v>410</v>
      </c>
      <c r="B411" s="5" t="s">
        <v>2230</v>
      </c>
      <c r="C411" s="5" t="s">
        <v>2231</v>
      </c>
      <c r="D411" s="5" t="s">
        <v>2279</v>
      </c>
      <c r="E411" s="5" t="s">
        <v>2280</v>
      </c>
      <c r="F411" s="5" t="s">
        <v>2281</v>
      </c>
      <c r="G411" s="5" t="s">
        <v>2282</v>
      </c>
      <c r="H411" s="5" t="s">
        <v>2283</v>
      </c>
      <c r="I411" s="5" t="s">
        <v>24</v>
      </c>
      <c r="J411" s="5" t="s">
        <v>29</v>
      </c>
      <c r="K411" s="5"/>
      <c r="L411" s="5" t="s">
        <v>2237</v>
      </c>
      <c r="M411" s="5" t="s">
        <v>2284</v>
      </c>
      <c r="N411" s="5" t="s">
        <v>2285</v>
      </c>
      <c r="O411" s="1" t="s">
        <v>29</v>
      </c>
      <c r="P411" s="5" t="s">
        <v>30</v>
      </c>
      <c r="Q411" s="5"/>
    </row>
    <row r="412" customFormat="false" ht="15" hidden="false" customHeight="true" outlineLevel="0" collapsed="false">
      <c r="A412" s="5" t="n">
        <v>411</v>
      </c>
      <c r="B412" s="5" t="s">
        <v>2230</v>
      </c>
      <c r="C412" s="5" t="s">
        <v>2231</v>
      </c>
      <c r="D412" s="5" t="s">
        <v>2286</v>
      </c>
      <c r="E412" s="5" t="s">
        <v>2287</v>
      </c>
      <c r="F412" s="5" t="s">
        <v>2288</v>
      </c>
      <c r="G412" s="5" t="s">
        <v>2289</v>
      </c>
      <c r="H412" s="5" t="s">
        <v>2290</v>
      </c>
      <c r="I412" s="5" t="s">
        <v>24</v>
      </c>
      <c r="J412" s="5" t="s">
        <v>29</v>
      </c>
      <c r="K412" s="5"/>
      <c r="L412" s="5" t="s">
        <v>2237</v>
      </c>
      <c r="M412" s="5" t="s">
        <v>2291</v>
      </c>
      <c r="N412" s="5" t="s">
        <v>2292</v>
      </c>
      <c r="O412" s="1" t="s">
        <v>29</v>
      </c>
      <c r="P412" s="5" t="s">
        <v>30</v>
      </c>
      <c r="Q412" s="5"/>
    </row>
    <row r="413" customFormat="false" ht="15" hidden="false" customHeight="true" outlineLevel="0" collapsed="false">
      <c r="A413" s="5" t="n">
        <v>412</v>
      </c>
      <c r="B413" s="5" t="s">
        <v>2230</v>
      </c>
      <c r="C413" s="5" t="s">
        <v>2231</v>
      </c>
      <c r="D413" s="5" t="s">
        <v>1954</v>
      </c>
      <c r="E413" s="5" t="s">
        <v>2293</v>
      </c>
      <c r="F413" s="5" t="s">
        <v>2294</v>
      </c>
      <c r="G413" s="5" t="s">
        <v>2295</v>
      </c>
      <c r="H413" s="5" t="s">
        <v>2296</v>
      </c>
      <c r="I413" s="5" t="s">
        <v>24</v>
      </c>
      <c r="J413" s="5" t="s">
        <v>29</v>
      </c>
      <c r="K413" s="5"/>
      <c r="L413" s="5" t="s">
        <v>2237</v>
      </c>
      <c r="M413" s="5" t="s">
        <v>2297</v>
      </c>
      <c r="N413" s="5" t="s">
        <v>2298</v>
      </c>
      <c r="O413" s="1" t="s">
        <v>29</v>
      </c>
      <c r="P413" s="5" t="s">
        <v>30</v>
      </c>
      <c r="Q413" s="5"/>
    </row>
    <row r="414" customFormat="false" ht="15" hidden="false" customHeight="true" outlineLevel="0" collapsed="false">
      <c r="A414" s="5" t="n">
        <v>413</v>
      </c>
      <c r="B414" s="5" t="s">
        <v>2230</v>
      </c>
      <c r="C414" s="5" t="s">
        <v>2231</v>
      </c>
      <c r="D414" s="5" t="s">
        <v>2299</v>
      </c>
      <c r="E414" s="5" t="s">
        <v>2300</v>
      </c>
      <c r="F414" s="5" t="s">
        <v>2301</v>
      </c>
      <c r="G414" s="5" t="s">
        <v>2302</v>
      </c>
      <c r="H414" s="5" t="s">
        <v>2303</v>
      </c>
      <c r="I414" s="5" t="s">
        <v>24</v>
      </c>
      <c r="J414" s="5" t="s">
        <v>29</v>
      </c>
      <c r="K414" s="5"/>
      <c r="L414" s="5" t="s">
        <v>2237</v>
      </c>
      <c r="M414" s="5" t="s">
        <v>2304</v>
      </c>
      <c r="N414" s="5" t="s">
        <v>2305</v>
      </c>
      <c r="O414" s="1" t="s">
        <v>29</v>
      </c>
      <c r="P414" s="5" t="s">
        <v>30</v>
      </c>
      <c r="Q414" s="5"/>
    </row>
    <row r="415" customFormat="false" ht="15" hidden="false" customHeight="true" outlineLevel="0" collapsed="false">
      <c r="A415" s="5" t="n">
        <v>414</v>
      </c>
      <c r="B415" s="5" t="s">
        <v>2230</v>
      </c>
      <c r="C415" s="5" t="s">
        <v>2231</v>
      </c>
      <c r="D415" s="5" t="s">
        <v>2306</v>
      </c>
      <c r="E415" s="5" t="s">
        <v>2307</v>
      </c>
      <c r="F415" s="5" t="s">
        <v>2308</v>
      </c>
      <c r="G415" s="5" t="s">
        <v>2309</v>
      </c>
      <c r="H415" s="5" t="s">
        <v>2310</v>
      </c>
      <c r="I415" s="5" t="s">
        <v>24</v>
      </c>
      <c r="J415" s="5" t="s">
        <v>29</v>
      </c>
      <c r="K415" s="5"/>
      <c r="L415" s="5" t="s">
        <v>2237</v>
      </c>
      <c r="M415" s="5" t="s">
        <v>2311</v>
      </c>
      <c r="N415" s="5" t="s">
        <v>2312</v>
      </c>
      <c r="O415" s="1" t="s">
        <v>29</v>
      </c>
      <c r="P415" s="5" t="s">
        <v>30</v>
      </c>
      <c r="Q415" s="5"/>
    </row>
    <row r="416" customFormat="false" ht="15" hidden="false" customHeight="true" outlineLevel="0" collapsed="false">
      <c r="A416" s="5" t="n">
        <v>415</v>
      </c>
      <c r="B416" s="5" t="s">
        <v>2230</v>
      </c>
      <c r="C416" s="5" t="s">
        <v>2231</v>
      </c>
      <c r="D416" s="5" t="s">
        <v>2313</v>
      </c>
      <c r="E416" s="5" t="s">
        <v>2314</v>
      </c>
      <c r="F416" s="5" t="s">
        <v>2315</v>
      </c>
      <c r="G416" s="5" t="s">
        <v>2316</v>
      </c>
      <c r="H416" s="5" t="s">
        <v>2317</v>
      </c>
      <c r="I416" s="5" t="s">
        <v>24</v>
      </c>
      <c r="J416" s="5" t="s">
        <v>29</v>
      </c>
      <c r="K416" s="5"/>
      <c r="L416" s="5" t="s">
        <v>2237</v>
      </c>
      <c r="M416" s="5" t="s">
        <v>2318</v>
      </c>
      <c r="N416" s="5" t="s">
        <v>2319</v>
      </c>
      <c r="O416" s="1" t="s">
        <v>29</v>
      </c>
      <c r="P416" s="5" t="s">
        <v>30</v>
      </c>
      <c r="Q416" s="5"/>
    </row>
    <row r="417" customFormat="false" ht="15" hidden="false" customHeight="true" outlineLevel="0" collapsed="false">
      <c r="A417" s="5" t="n">
        <v>416</v>
      </c>
      <c r="B417" s="5" t="s">
        <v>2230</v>
      </c>
      <c r="C417" s="5" t="s">
        <v>2231</v>
      </c>
      <c r="D417" s="5" t="s">
        <v>1954</v>
      </c>
      <c r="E417" s="5" t="s">
        <v>2320</v>
      </c>
      <c r="F417" s="5" t="s">
        <v>2321</v>
      </c>
      <c r="G417" s="5" t="s">
        <v>2322</v>
      </c>
      <c r="H417" s="5" t="s">
        <v>2323</v>
      </c>
      <c r="I417" s="5" t="s">
        <v>24</v>
      </c>
      <c r="J417" s="5" t="s">
        <v>29</v>
      </c>
      <c r="K417" s="5"/>
      <c r="L417" s="5" t="s">
        <v>2237</v>
      </c>
      <c r="M417" s="5" t="s">
        <v>2324</v>
      </c>
      <c r="N417" s="5" t="s">
        <v>2325</v>
      </c>
      <c r="O417" s="1" t="s">
        <v>29</v>
      </c>
      <c r="P417" s="5" t="s">
        <v>30</v>
      </c>
      <c r="Q417" s="5"/>
    </row>
    <row r="418" customFormat="false" ht="15" hidden="false" customHeight="true" outlineLevel="0" collapsed="false">
      <c r="A418" s="5" t="n">
        <v>417</v>
      </c>
      <c r="B418" s="5" t="s">
        <v>2230</v>
      </c>
      <c r="C418" s="5" t="s">
        <v>2231</v>
      </c>
      <c r="D418" s="5" t="s">
        <v>2326</v>
      </c>
      <c r="E418" s="5" t="s">
        <v>2327</v>
      </c>
      <c r="F418" s="5" t="s">
        <v>2328</v>
      </c>
      <c r="G418" s="5" t="s">
        <v>2329</v>
      </c>
      <c r="H418" s="5" t="s">
        <v>2330</v>
      </c>
      <c r="I418" s="5" t="s">
        <v>24</v>
      </c>
      <c r="J418" s="5" t="s">
        <v>29</v>
      </c>
      <c r="K418" s="5"/>
      <c r="L418" s="5" t="s">
        <v>2237</v>
      </c>
      <c r="M418" s="5" t="s">
        <v>2331</v>
      </c>
      <c r="N418" s="5" t="s">
        <v>2332</v>
      </c>
      <c r="O418" s="1" t="s">
        <v>29</v>
      </c>
      <c r="P418" s="5" t="s">
        <v>30</v>
      </c>
      <c r="Q418" s="5"/>
    </row>
    <row r="419" customFormat="false" ht="15" hidden="false" customHeight="true" outlineLevel="0" collapsed="false">
      <c r="A419" s="5" t="n">
        <v>418</v>
      </c>
      <c r="B419" s="5" t="s">
        <v>2230</v>
      </c>
      <c r="C419" s="5" t="s">
        <v>2231</v>
      </c>
      <c r="D419" s="5" t="s">
        <v>2333</v>
      </c>
      <c r="E419" s="5" t="s">
        <v>2334</v>
      </c>
      <c r="F419" s="5" t="s">
        <v>2335</v>
      </c>
      <c r="G419" s="5" t="s">
        <v>2336</v>
      </c>
      <c r="H419" s="5" t="s">
        <v>2337</v>
      </c>
      <c r="I419" s="5" t="s">
        <v>24</v>
      </c>
      <c r="J419" s="5" t="s">
        <v>29</v>
      </c>
      <c r="K419" s="5"/>
      <c r="L419" s="5" t="s">
        <v>2237</v>
      </c>
      <c r="M419" s="5" t="s">
        <v>2338</v>
      </c>
      <c r="N419" s="5" t="s">
        <v>2339</v>
      </c>
      <c r="O419" s="1" t="s">
        <v>29</v>
      </c>
      <c r="P419" s="5" t="s">
        <v>30</v>
      </c>
      <c r="Q419" s="5"/>
    </row>
    <row r="420" customFormat="false" ht="15" hidden="false" customHeight="true" outlineLevel="0" collapsed="false">
      <c r="A420" s="5" t="n">
        <v>419</v>
      </c>
      <c r="B420" s="5" t="s">
        <v>2230</v>
      </c>
      <c r="C420" s="5" t="s">
        <v>2340</v>
      </c>
      <c r="D420" s="5" t="s">
        <v>2279</v>
      </c>
      <c r="E420" s="5" t="s">
        <v>2341</v>
      </c>
      <c r="F420" s="5" t="s">
        <v>2342</v>
      </c>
      <c r="G420" s="5" t="s">
        <v>2343</v>
      </c>
      <c r="H420" s="5" t="s">
        <v>2344</v>
      </c>
      <c r="I420" s="5" t="s">
        <v>24</v>
      </c>
      <c r="J420" s="5" t="s">
        <v>29</v>
      </c>
      <c r="K420" s="5"/>
      <c r="L420" s="5" t="s">
        <v>2237</v>
      </c>
      <c r="M420" s="5" t="s">
        <v>2345</v>
      </c>
      <c r="N420" s="5" t="s">
        <v>2346</v>
      </c>
      <c r="O420" s="1" t="s">
        <v>29</v>
      </c>
      <c r="P420" s="5" t="s">
        <v>30</v>
      </c>
      <c r="Q420" s="5"/>
    </row>
    <row r="421" customFormat="false" ht="15" hidden="false" customHeight="true" outlineLevel="0" collapsed="false">
      <c r="A421" s="5" t="n">
        <v>420</v>
      </c>
      <c r="B421" s="5" t="s">
        <v>2230</v>
      </c>
      <c r="C421" s="5" t="s">
        <v>2340</v>
      </c>
      <c r="D421" s="5" t="s">
        <v>2347</v>
      </c>
      <c r="E421" s="5" t="s">
        <v>2348</v>
      </c>
      <c r="F421" s="5" t="s">
        <v>2349</v>
      </c>
      <c r="G421" s="5" t="s">
        <v>2350</v>
      </c>
      <c r="H421" s="5" t="s">
        <v>2351</v>
      </c>
      <c r="I421" s="5" t="s">
        <v>24</v>
      </c>
      <c r="J421" s="5" t="s">
        <v>29</v>
      </c>
      <c r="K421" s="5"/>
      <c r="L421" s="5" t="s">
        <v>2237</v>
      </c>
      <c r="M421" s="5" t="s">
        <v>2352</v>
      </c>
      <c r="N421" s="5" t="s">
        <v>2353</v>
      </c>
      <c r="O421" s="1" t="s">
        <v>29</v>
      </c>
      <c r="P421" s="5" t="s">
        <v>30</v>
      </c>
      <c r="Q421" s="5"/>
    </row>
    <row r="422" customFormat="false" ht="15" hidden="false" customHeight="true" outlineLevel="0" collapsed="false">
      <c r="A422" s="5" t="n">
        <v>421</v>
      </c>
      <c r="B422" s="5" t="s">
        <v>2230</v>
      </c>
      <c r="C422" s="5" t="s">
        <v>2340</v>
      </c>
      <c r="D422" s="5" t="s">
        <v>2354</v>
      </c>
      <c r="E422" s="5" t="s">
        <v>2355</v>
      </c>
      <c r="F422" s="5" t="s">
        <v>2356</v>
      </c>
      <c r="G422" s="5" t="s">
        <v>2357</v>
      </c>
      <c r="H422" s="5" t="s">
        <v>2358</v>
      </c>
      <c r="I422" s="5" t="s">
        <v>24</v>
      </c>
      <c r="J422" s="5" t="s">
        <v>29</v>
      </c>
      <c r="K422" s="5"/>
      <c r="L422" s="5" t="s">
        <v>2237</v>
      </c>
      <c r="M422" s="5" t="s">
        <v>2359</v>
      </c>
      <c r="N422" s="5" t="s">
        <v>2360</v>
      </c>
      <c r="O422" s="1" t="s">
        <v>29</v>
      </c>
      <c r="P422" s="5" t="s">
        <v>30</v>
      </c>
      <c r="Q422" s="5"/>
    </row>
    <row r="423" customFormat="false" ht="15" hidden="false" customHeight="true" outlineLevel="0" collapsed="false">
      <c r="A423" s="5" t="n">
        <v>422</v>
      </c>
      <c r="B423" s="5" t="s">
        <v>2230</v>
      </c>
      <c r="C423" s="5" t="s">
        <v>2340</v>
      </c>
      <c r="D423" s="5" t="s">
        <v>2232</v>
      </c>
      <c r="E423" s="5" t="s">
        <v>2361</v>
      </c>
      <c r="F423" s="5" t="s">
        <v>2362</v>
      </c>
      <c r="G423" s="5" t="s">
        <v>2363</v>
      </c>
      <c r="H423" s="5" t="s">
        <v>2364</v>
      </c>
      <c r="I423" s="5" t="s">
        <v>24</v>
      </c>
      <c r="J423" s="5" t="s">
        <v>29</v>
      </c>
      <c r="K423" s="5"/>
      <c r="L423" s="5" t="s">
        <v>2237</v>
      </c>
      <c r="M423" s="5" t="s">
        <v>2365</v>
      </c>
      <c r="N423" s="5" t="s">
        <v>2366</v>
      </c>
      <c r="O423" s="1" t="s">
        <v>29</v>
      </c>
      <c r="P423" s="5" t="s">
        <v>30</v>
      </c>
      <c r="Q423" s="5"/>
    </row>
    <row r="424" customFormat="false" ht="15" hidden="false" customHeight="true" outlineLevel="0" collapsed="false">
      <c r="A424" s="5" t="n">
        <v>423</v>
      </c>
      <c r="B424" s="5" t="s">
        <v>2230</v>
      </c>
      <c r="C424" s="5" t="s">
        <v>2340</v>
      </c>
      <c r="D424" s="5" t="s">
        <v>2367</v>
      </c>
      <c r="E424" s="5" t="s">
        <v>2368</v>
      </c>
      <c r="F424" s="5" t="s">
        <v>2369</v>
      </c>
      <c r="G424" s="5" t="s">
        <v>2370</v>
      </c>
      <c r="H424" s="5" t="s">
        <v>2371</v>
      </c>
      <c r="I424" s="5" t="s">
        <v>24</v>
      </c>
      <c r="J424" s="5" t="s">
        <v>29</v>
      </c>
      <c r="K424" s="5"/>
      <c r="L424" s="5" t="s">
        <v>2237</v>
      </c>
      <c r="M424" s="5" t="s">
        <v>2372</v>
      </c>
      <c r="N424" s="5" t="s">
        <v>2373</v>
      </c>
      <c r="O424" s="1" t="s">
        <v>29</v>
      </c>
      <c r="P424" s="5" t="s">
        <v>30</v>
      </c>
      <c r="Q424" s="5"/>
    </row>
    <row r="425" customFormat="false" ht="15" hidden="false" customHeight="true" outlineLevel="0" collapsed="false">
      <c r="A425" s="5" t="n">
        <v>424</v>
      </c>
      <c r="B425" s="5" t="s">
        <v>2230</v>
      </c>
      <c r="C425" s="5" t="s">
        <v>2340</v>
      </c>
      <c r="D425" s="5" t="s">
        <v>2232</v>
      </c>
      <c r="E425" s="5" t="s">
        <v>2374</v>
      </c>
      <c r="F425" s="5" t="s">
        <v>2375</v>
      </c>
      <c r="G425" s="5" t="s">
        <v>2376</v>
      </c>
      <c r="H425" s="5" t="s">
        <v>2377</v>
      </c>
      <c r="I425" s="5" t="s">
        <v>24</v>
      </c>
      <c r="J425" s="5" t="s">
        <v>29</v>
      </c>
      <c r="K425" s="5"/>
      <c r="L425" s="5" t="s">
        <v>2237</v>
      </c>
      <c r="M425" s="5" t="s">
        <v>2378</v>
      </c>
      <c r="N425" s="5" t="s">
        <v>2379</v>
      </c>
      <c r="O425" s="1" t="s">
        <v>29</v>
      </c>
      <c r="P425" s="5" t="s">
        <v>30</v>
      </c>
      <c r="Q425" s="5"/>
    </row>
    <row r="426" customFormat="false" ht="15" hidden="false" customHeight="true" outlineLevel="0" collapsed="false">
      <c r="A426" s="5" t="n">
        <v>425</v>
      </c>
      <c r="B426" s="5" t="s">
        <v>2230</v>
      </c>
      <c r="C426" s="5" t="s">
        <v>2340</v>
      </c>
      <c r="D426" s="5" t="s">
        <v>2367</v>
      </c>
      <c r="E426" s="5" t="s">
        <v>2380</v>
      </c>
      <c r="F426" s="5" t="s">
        <v>2381</v>
      </c>
      <c r="G426" s="5" t="s">
        <v>2382</v>
      </c>
      <c r="H426" s="5" t="s">
        <v>2383</v>
      </c>
      <c r="I426" s="5" t="s">
        <v>24</v>
      </c>
      <c r="J426" s="5" t="s">
        <v>29</v>
      </c>
      <c r="K426" s="5"/>
      <c r="L426" s="5" t="s">
        <v>2237</v>
      </c>
      <c r="M426" s="5" t="s">
        <v>2384</v>
      </c>
      <c r="N426" s="5" t="s">
        <v>2385</v>
      </c>
      <c r="O426" s="1" t="s">
        <v>29</v>
      </c>
      <c r="P426" s="5" t="s">
        <v>30</v>
      </c>
      <c r="Q426" s="5"/>
    </row>
    <row r="427" customFormat="false" ht="15" hidden="false" customHeight="true" outlineLevel="0" collapsed="false">
      <c r="A427" s="5" t="n">
        <v>426</v>
      </c>
      <c r="B427" s="5" t="s">
        <v>2230</v>
      </c>
      <c r="C427" s="5" t="s">
        <v>2340</v>
      </c>
      <c r="D427" s="5" t="s">
        <v>2386</v>
      </c>
      <c r="E427" s="5" t="s">
        <v>2387</v>
      </c>
      <c r="F427" s="5" t="s">
        <v>2388</v>
      </c>
      <c r="G427" s="5" t="s">
        <v>2389</v>
      </c>
      <c r="H427" s="5" t="s">
        <v>2390</v>
      </c>
      <c r="I427" s="5" t="s">
        <v>24</v>
      </c>
      <c r="J427" s="5" t="s">
        <v>29</v>
      </c>
      <c r="K427" s="5"/>
      <c r="L427" s="5" t="s">
        <v>2237</v>
      </c>
      <c r="M427" s="5" t="s">
        <v>2391</v>
      </c>
      <c r="N427" s="5" t="s">
        <v>2392</v>
      </c>
      <c r="O427" s="1" t="s">
        <v>29</v>
      </c>
      <c r="P427" s="5" t="s">
        <v>30</v>
      </c>
      <c r="Q427" s="5"/>
    </row>
    <row r="428" customFormat="false" ht="15" hidden="false" customHeight="true" outlineLevel="0" collapsed="false">
      <c r="A428" s="5" t="n">
        <v>427</v>
      </c>
      <c r="B428" s="5" t="s">
        <v>2230</v>
      </c>
      <c r="C428" s="5" t="s">
        <v>2340</v>
      </c>
      <c r="D428" s="5" t="s">
        <v>2272</v>
      </c>
      <c r="E428" s="5" t="s">
        <v>2393</v>
      </c>
      <c r="F428" s="5" t="s">
        <v>2394</v>
      </c>
      <c r="G428" s="5" t="s">
        <v>2395</v>
      </c>
      <c r="H428" s="5" t="s">
        <v>2396</v>
      </c>
      <c r="I428" s="5" t="s">
        <v>24</v>
      </c>
      <c r="J428" s="5" t="s">
        <v>29</v>
      </c>
      <c r="K428" s="5"/>
      <c r="L428" s="5" t="s">
        <v>2237</v>
      </c>
      <c r="M428" s="5" t="s">
        <v>2397</v>
      </c>
      <c r="N428" s="5" t="s">
        <v>2398</v>
      </c>
      <c r="O428" s="1" t="s">
        <v>29</v>
      </c>
      <c r="P428" s="5" t="s">
        <v>30</v>
      </c>
      <c r="Q428" s="5"/>
    </row>
    <row r="429" customFormat="false" ht="15" hidden="false" customHeight="true" outlineLevel="0" collapsed="false">
      <c r="A429" s="5" t="n">
        <v>428</v>
      </c>
      <c r="B429" s="5" t="s">
        <v>2230</v>
      </c>
      <c r="C429" s="5" t="s">
        <v>2340</v>
      </c>
      <c r="D429" s="5" t="s">
        <v>2399</v>
      </c>
      <c r="E429" s="5" t="s">
        <v>2400</v>
      </c>
      <c r="F429" s="5" t="s">
        <v>2401</v>
      </c>
      <c r="G429" s="5" t="s">
        <v>2402</v>
      </c>
      <c r="H429" s="5" t="s">
        <v>2403</v>
      </c>
      <c r="I429" s="5" t="s">
        <v>24</v>
      </c>
      <c r="J429" s="5" t="s">
        <v>29</v>
      </c>
      <c r="K429" s="5"/>
      <c r="L429" s="5" t="s">
        <v>2237</v>
      </c>
      <c r="M429" s="5" t="s">
        <v>2404</v>
      </c>
      <c r="N429" s="5" t="s">
        <v>2405</v>
      </c>
      <c r="O429" s="1" t="s">
        <v>29</v>
      </c>
      <c r="P429" s="5" t="s">
        <v>30</v>
      </c>
      <c r="Q429" s="5"/>
    </row>
    <row r="430" customFormat="false" ht="15" hidden="false" customHeight="true" outlineLevel="0" collapsed="false">
      <c r="A430" s="5" t="n">
        <v>429</v>
      </c>
      <c r="B430" s="5" t="s">
        <v>2230</v>
      </c>
      <c r="C430" s="5" t="s">
        <v>2340</v>
      </c>
      <c r="D430" s="5" t="s">
        <v>2386</v>
      </c>
      <c r="E430" s="5" t="s">
        <v>2406</v>
      </c>
      <c r="F430" s="5" t="s">
        <v>2407</v>
      </c>
      <c r="G430" s="5" t="s">
        <v>2408</v>
      </c>
      <c r="H430" s="5" t="s">
        <v>2409</v>
      </c>
      <c r="I430" s="5" t="s">
        <v>24</v>
      </c>
      <c r="J430" s="5" t="s">
        <v>29</v>
      </c>
      <c r="K430" s="5"/>
      <c r="L430" s="5" t="s">
        <v>2237</v>
      </c>
      <c r="M430" s="5" t="s">
        <v>2410</v>
      </c>
      <c r="N430" s="5" t="s">
        <v>2411</v>
      </c>
      <c r="O430" s="1" t="s">
        <v>29</v>
      </c>
      <c r="P430" s="5" t="s">
        <v>30</v>
      </c>
      <c r="Q430" s="5"/>
    </row>
    <row r="431" customFormat="false" ht="15" hidden="false" customHeight="true" outlineLevel="0" collapsed="false">
      <c r="A431" s="5" t="n">
        <v>430</v>
      </c>
      <c r="B431" s="5" t="s">
        <v>2230</v>
      </c>
      <c r="C431" s="5" t="s">
        <v>2340</v>
      </c>
      <c r="D431" s="5" t="s">
        <v>2386</v>
      </c>
      <c r="E431" s="5" t="s">
        <v>2412</v>
      </c>
      <c r="F431" s="5" t="s">
        <v>2413</v>
      </c>
      <c r="G431" s="5" t="s">
        <v>2414</v>
      </c>
      <c r="H431" s="5" t="s">
        <v>2415</v>
      </c>
      <c r="I431" s="5" t="s">
        <v>24</v>
      </c>
      <c r="J431" s="5" t="s">
        <v>29</v>
      </c>
      <c r="K431" s="5"/>
      <c r="L431" s="5" t="s">
        <v>2237</v>
      </c>
      <c r="M431" s="5" t="s">
        <v>2416</v>
      </c>
      <c r="N431" s="5" t="s">
        <v>2417</v>
      </c>
      <c r="O431" s="1" t="s">
        <v>29</v>
      </c>
      <c r="P431" s="5" t="s">
        <v>30</v>
      </c>
      <c r="Q431" s="5"/>
    </row>
    <row r="432" customFormat="false" ht="15" hidden="false" customHeight="true" outlineLevel="0" collapsed="false">
      <c r="A432" s="5" t="n">
        <v>431</v>
      </c>
      <c r="B432" s="5" t="s">
        <v>2230</v>
      </c>
      <c r="C432" s="5" t="s">
        <v>2340</v>
      </c>
      <c r="D432" s="5" t="s">
        <v>2418</v>
      </c>
      <c r="E432" s="5" t="s">
        <v>2419</v>
      </c>
      <c r="F432" s="5" t="s">
        <v>2420</v>
      </c>
      <c r="G432" s="5" t="s">
        <v>2421</v>
      </c>
      <c r="H432" s="5" t="s">
        <v>2422</v>
      </c>
      <c r="I432" s="5" t="s">
        <v>24</v>
      </c>
      <c r="J432" s="5" t="s">
        <v>29</v>
      </c>
      <c r="K432" s="5"/>
      <c r="L432" s="5" t="s">
        <v>2237</v>
      </c>
      <c r="M432" s="5" t="s">
        <v>2423</v>
      </c>
      <c r="N432" s="5" t="s">
        <v>2424</v>
      </c>
      <c r="O432" s="1" t="s">
        <v>29</v>
      </c>
      <c r="P432" s="5" t="s">
        <v>30</v>
      </c>
      <c r="Q432" s="5"/>
    </row>
    <row r="433" customFormat="false" ht="15" hidden="false" customHeight="true" outlineLevel="0" collapsed="false">
      <c r="A433" s="5" t="n">
        <v>432</v>
      </c>
      <c r="B433" s="5" t="s">
        <v>2230</v>
      </c>
      <c r="C433" s="5" t="s">
        <v>2340</v>
      </c>
      <c r="D433" s="5" t="s">
        <v>2367</v>
      </c>
      <c r="E433" s="5" t="s">
        <v>2425</v>
      </c>
      <c r="F433" s="5" t="s">
        <v>2426</v>
      </c>
      <c r="G433" s="5" t="s">
        <v>2427</v>
      </c>
      <c r="H433" s="5" t="s">
        <v>2428</v>
      </c>
      <c r="I433" s="5" t="s">
        <v>24</v>
      </c>
      <c r="J433" s="5" t="s">
        <v>29</v>
      </c>
      <c r="K433" s="5"/>
      <c r="L433" s="5" t="s">
        <v>2237</v>
      </c>
      <c r="M433" s="5" t="s">
        <v>2429</v>
      </c>
      <c r="N433" s="5" t="s">
        <v>2430</v>
      </c>
      <c r="O433" s="1" t="s">
        <v>29</v>
      </c>
      <c r="P433" s="5" t="s">
        <v>30</v>
      </c>
      <c r="Q433" s="5"/>
    </row>
    <row r="434" customFormat="false" ht="15" hidden="false" customHeight="true" outlineLevel="0" collapsed="false">
      <c r="A434" s="5" t="n">
        <v>433</v>
      </c>
      <c r="B434" s="5" t="s">
        <v>2230</v>
      </c>
      <c r="C434" s="5" t="s">
        <v>2340</v>
      </c>
      <c r="D434" s="5" t="s">
        <v>2431</v>
      </c>
      <c r="E434" s="5" t="s">
        <v>2432</v>
      </c>
      <c r="F434" s="5" t="s">
        <v>2433</v>
      </c>
      <c r="G434" s="5" t="s">
        <v>2433</v>
      </c>
      <c r="H434" s="5" t="s">
        <v>2434</v>
      </c>
      <c r="I434" s="5" t="s">
        <v>24</v>
      </c>
      <c r="J434" s="5" t="s">
        <v>29</v>
      </c>
      <c r="K434" s="5"/>
      <c r="L434" s="5" t="s">
        <v>2237</v>
      </c>
      <c r="M434" s="5" t="s">
        <v>2435</v>
      </c>
      <c r="N434" s="5" t="s">
        <v>2436</v>
      </c>
      <c r="O434" s="1" t="s">
        <v>29</v>
      </c>
      <c r="P434" s="5" t="s">
        <v>30</v>
      </c>
      <c r="Q434" s="5"/>
    </row>
    <row r="435" customFormat="false" ht="15" hidden="false" customHeight="true" outlineLevel="0" collapsed="false">
      <c r="A435" s="5" t="n">
        <v>434</v>
      </c>
      <c r="B435" s="5" t="s">
        <v>2230</v>
      </c>
      <c r="C435" s="5" t="s">
        <v>2340</v>
      </c>
      <c r="D435" s="5" t="s">
        <v>2367</v>
      </c>
      <c r="E435" s="5" t="s">
        <v>2437</v>
      </c>
      <c r="F435" s="5" t="s">
        <v>2438</v>
      </c>
      <c r="G435" s="5" t="s">
        <v>2439</v>
      </c>
      <c r="H435" s="5" t="s">
        <v>2440</v>
      </c>
      <c r="I435" s="5" t="s">
        <v>24</v>
      </c>
      <c r="J435" s="5" t="s">
        <v>29</v>
      </c>
      <c r="K435" s="5"/>
      <c r="L435" s="5" t="s">
        <v>2237</v>
      </c>
      <c r="M435" s="5" t="s">
        <v>2441</v>
      </c>
      <c r="N435" s="5" t="s">
        <v>2442</v>
      </c>
      <c r="O435" s="1" t="s">
        <v>29</v>
      </c>
      <c r="P435" s="5" t="s">
        <v>30</v>
      </c>
      <c r="Q435" s="5"/>
    </row>
    <row r="436" customFormat="false" ht="15" hidden="false" customHeight="true" outlineLevel="0" collapsed="false">
      <c r="A436" s="5" t="n">
        <v>435</v>
      </c>
      <c r="B436" s="5" t="s">
        <v>2230</v>
      </c>
      <c r="C436" s="5" t="s">
        <v>2340</v>
      </c>
      <c r="D436" s="5" t="s">
        <v>2265</v>
      </c>
      <c r="E436" s="5" t="s">
        <v>2443</v>
      </c>
      <c r="F436" s="5" t="s">
        <v>2444</v>
      </c>
      <c r="G436" s="5" t="s">
        <v>2445</v>
      </c>
      <c r="H436" s="5" t="s">
        <v>2446</v>
      </c>
      <c r="I436" s="5" t="s">
        <v>24</v>
      </c>
      <c r="J436" s="5" t="s">
        <v>29</v>
      </c>
      <c r="K436" s="5"/>
      <c r="L436" s="5" t="s">
        <v>2237</v>
      </c>
      <c r="M436" s="5" t="s">
        <v>2447</v>
      </c>
      <c r="N436" s="5" t="s">
        <v>2448</v>
      </c>
      <c r="O436" s="1" t="s">
        <v>29</v>
      </c>
      <c r="P436" s="5" t="s">
        <v>30</v>
      </c>
      <c r="Q436" s="5"/>
    </row>
    <row r="437" customFormat="false" ht="15" hidden="false" customHeight="true" outlineLevel="0" collapsed="false">
      <c r="A437" s="5" t="n">
        <v>436</v>
      </c>
      <c r="B437" s="5" t="s">
        <v>2230</v>
      </c>
      <c r="C437" s="5" t="s">
        <v>2340</v>
      </c>
      <c r="D437" s="5" t="s">
        <v>2449</v>
      </c>
      <c r="E437" s="5" t="s">
        <v>2450</v>
      </c>
      <c r="F437" s="5" t="s">
        <v>2451</v>
      </c>
      <c r="G437" s="5" t="s">
        <v>2452</v>
      </c>
      <c r="H437" s="5" t="s">
        <v>2453</v>
      </c>
      <c r="I437" s="5" t="s">
        <v>24</v>
      </c>
      <c r="J437" s="5" t="s">
        <v>29</v>
      </c>
      <c r="K437" s="5"/>
      <c r="L437" s="5" t="s">
        <v>2237</v>
      </c>
      <c r="M437" s="5" t="s">
        <v>2454</v>
      </c>
      <c r="N437" s="5" t="s">
        <v>2455</v>
      </c>
      <c r="O437" s="1" t="s">
        <v>29</v>
      </c>
      <c r="P437" s="5" t="s">
        <v>30</v>
      </c>
      <c r="Q437" s="5"/>
    </row>
    <row r="438" customFormat="false" ht="15" hidden="false" customHeight="true" outlineLevel="0" collapsed="false">
      <c r="A438" s="5" t="n">
        <v>437</v>
      </c>
      <c r="B438" s="5" t="s">
        <v>2230</v>
      </c>
      <c r="C438" s="5" t="s">
        <v>2340</v>
      </c>
      <c r="D438" s="5" t="s">
        <v>2456</v>
      </c>
      <c r="E438" s="5" t="s">
        <v>2457</v>
      </c>
      <c r="F438" s="5" t="s">
        <v>2458</v>
      </c>
      <c r="G438" s="5" t="s">
        <v>2459</v>
      </c>
      <c r="H438" s="5" t="s">
        <v>2460</v>
      </c>
      <c r="I438" s="5" t="s">
        <v>24</v>
      </c>
      <c r="J438" s="5" t="s">
        <v>29</v>
      </c>
      <c r="K438" s="5"/>
      <c r="L438" s="5" t="s">
        <v>2237</v>
      </c>
      <c r="M438" s="5" t="s">
        <v>2461</v>
      </c>
      <c r="N438" s="5" t="s">
        <v>2462</v>
      </c>
      <c r="O438" s="1" t="s">
        <v>29</v>
      </c>
      <c r="P438" s="5" t="s">
        <v>30</v>
      </c>
      <c r="Q438" s="5"/>
    </row>
    <row r="439" customFormat="false" ht="15" hidden="false" customHeight="true" outlineLevel="0" collapsed="false">
      <c r="A439" s="5" t="n">
        <v>438</v>
      </c>
      <c r="B439" s="5" t="s">
        <v>2230</v>
      </c>
      <c r="C439" s="5" t="s">
        <v>2463</v>
      </c>
      <c r="D439" s="5" t="s">
        <v>2464</v>
      </c>
      <c r="E439" s="5" t="s">
        <v>2465</v>
      </c>
      <c r="F439" s="5" t="s">
        <v>2466</v>
      </c>
      <c r="G439" s="5" t="s">
        <v>2467</v>
      </c>
      <c r="H439" s="5" t="s">
        <v>2468</v>
      </c>
      <c r="I439" s="5" t="s">
        <v>24</v>
      </c>
      <c r="J439" s="5" t="s">
        <v>29</v>
      </c>
      <c r="K439" s="5"/>
      <c r="L439" s="5" t="s">
        <v>2237</v>
      </c>
      <c r="M439" s="5" t="s">
        <v>2469</v>
      </c>
      <c r="N439" s="5" t="s">
        <v>2470</v>
      </c>
      <c r="O439" s="1" t="s">
        <v>29</v>
      </c>
      <c r="P439" s="5" t="s">
        <v>30</v>
      </c>
      <c r="Q439" s="5"/>
    </row>
    <row r="440" customFormat="false" ht="15" hidden="false" customHeight="true" outlineLevel="0" collapsed="false">
      <c r="A440" s="5" t="n">
        <v>439</v>
      </c>
      <c r="B440" s="5" t="s">
        <v>2230</v>
      </c>
      <c r="C440" s="5" t="s">
        <v>2463</v>
      </c>
      <c r="D440" s="5" t="s">
        <v>2471</v>
      </c>
      <c r="E440" s="5" t="s">
        <v>2472</v>
      </c>
      <c r="F440" s="5" t="s">
        <v>2473</v>
      </c>
      <c r="G440" s="5" t="s">
        <v>2474</v>
      </c>
      <c r="H440" s="5" t="s">
        <v>2475</v>
      </c>
      <c r="I440" s="5" t="s">
        <v>24</v>
      </c>
      <c r="J440" s="5" t="s">
        <v>29</v>
      </c>
      <c r="K440" s="5"/>
      <c r="L440" s="5" t="s">
        <v>2237</v>
      </c>
      <c r="M440" s="5" t="s">
        <v>2476</v>
      </c>
      <c r="N440" s="5" t="s">
        <v>2477</v>
      </c>
      <c r="O440" s="1" t="s">
        <v>29</v>
      </c>
      <c r="P440" s="5" t="s">
        <v>30</v>
      </c>
      <c r="Q440" s="5"/>
    </row>
    <row r="441" customFormat="false" ht="15" hidden="false" customHeight="true" outlineLevel="0" collapsed="false">
      <c r="A441" s="5" t="n">
        <v>440</v>
      </c>
      <c r="B441" s="5" t="s">
        <v>2230</v>
      </c>
      <c r="C441" s="5" t="s">
        <v>2463</v>
      </c>
      <c r="D441" s="5" t="s">
        <v>2232</v>
      </c>
      <c r="E441" s="5" t="s">
        <v>2478</v>
      </c>
      <c r="F441" s="5" t="s">
        <v>2479</v>
      </c>
      <c r="G441" s="5" t="s">
        <v>2480</v>
      </c>
      <c r="H441" s="5" t="s">
        <v>2481</v>
      </c>
      <c r="I441" s="5" t="s">
        <v>24</v>
      </c>
      <c r="J441" s="5" t="s">
        <v>29</v>
      </c>
      <c r="K441" s="5"/>
      <c r="L441" s="5" t="s">
        <v>2237</v>
      </c>
      <c r="M441" s="5" t="s">
        <v>2482</v>
      </c>
      <c r="N441" s="5" t="s">
        <v>2483</v>
      </c>
      <c r="O441" s="1" t="s">
        <v>29</v>
      </c>
      <c r="P441" s="5" t="s">
        <v>30</v>
      </c>
      <c r="Q441" s="5"/>
    </row>
    <row r="442" customFormat="false" ht="15" hidden="false" customHeight="true" outlineLevel="0" collapsed="false">
      <c r="A442" s="5" t="n">
        <v>441</v>
      </c>
      <c r="B442" s="5" t="s">
        <v>2230</v>
      </c>
      <c r="C442" s="5" t="s">
        <v>2463</v>
      </c>
      <c r="D442" s="5" t="s">
        <v>2484</v>
      </c>
      <c r="E442" s="5" t="s">
        <v>2478</v>
      </c>
      <c r="F442" s="5" t="s">
        <v>2485</v>
      </c>
      <c r="G442" s="5" t="s">
        <v>2486</v>
      </c>
      <c r="H442" s="5" t="s">
        <v>2487</v>
      </c>
      <c r="I442" s="5" t="s">
        <v>24</v>
      </c>
      <c r="J442" s="5" t="s">
        <v>29</v>
      </c>
      <c r="K442" s="5"/>
      <c r="L442" s="5" t="s">
        <v>2237</v>
      </c>
      <c r="M442" s="5" t="s">
        <v>2488</v>
      </c>
      <c r="N442" s="5" t="s">
        <v>2489</v>
      </c>
      <c r="O442" s="1" t="s">
        <v>29</v>
      </c>
      <c r="P442" s="5" t="s">
        <v>30</v>
      </c>
      <c r="Q442" s="5"/>
    </row>
    <row r="443" customFormat="false" ht="15" hidden="false" customHeight="true" outlineLevel="0" collapsed="false">
      <c r="A443" s="5" t="n">
        <v>442</v>
      </c>
      <c r="B443" s="5" t="s">
        <v>2230</v>
      </c>
      <c r="C443" s="5" t="s">
        <v>2463</v>
      </c>
      <c r="D443" s="5" t="s">
        <v>2490</v>
      </c>
      <c r="E443" s="5" t="s">
        <v>2491</v>
      </c>
      <c r="F443" s="5" t="s">
        <v>2492</v>
      </c>
      <c r="G443" s="5" t="s">
        <v>2493</v>
      </c>
      <c r="H443" s="5" t="s">
        <v>2494</v>
      </c>
      <c r="I443" s="5" t="s">
        <v>24</v>
      </c>
      <c r="J443" s="5" t="s">
        <v>29</v>
      </c>
      <c r="K443" s="5"/>
      <c r="L443" s="5" t="s">
        <v>2237</v>
      </c>
      <c r="M443" s="5" t="s">
        <v>2495</v>
      </c>
      <c r="N443" s="5" t="s">
        <v>2496</v>
      </c>
      <c r="O443" s="1" t="s">
        <v>29</v>
      </c>
      <c r="P443" s="5" t="s">
        <v>30</v>
      </c>
      <c r="Q443" s="5"/>
    </row>
    <row r="444" customFormat="false" ht="15" hidden="false" customHeight="true" outlineLevel="0" collapsed="false">
      <c r="A444" s="5" t="n">
        <v>443</v>
      </c>
      <c r="B444" s="5" t="s">
        <v>2230</v>
      </c>
      <c r="C444" s="5" t="s">
        <v>2463</v>
      </c>
      <c r="D444" s="5" t="s">
        <v>2272</v>
      </c>
      <c r="E444" s="5" t="s">
        <v>2497</v>
      </c>
      <c r="F444" s="5" t="s">
        <v>2498</v>
      </c>
      <c r="G444" s="5" t="s">
        <v>2499</v>
      </c>
      <c r="H444" s="5" t="s">
        <v>2500</v>
      </c>
      <c r="I444" s="5" t="s">
        <v>24</v>
      </c>
      <c r="J444" s="5" t="s">
        <v>29</v>
      </c>
      <c r="K444" s="5"/>
      <c r="L444" s="5" t="s">
        <v>2237</v>
      </c>
      <c r="M444" s="5" t="s">
        <v>2501</v>
      </c>
      <c r="N444" s="5" t="s">
        <v>2502</v>
      </c>
      <c r="O444" s="1" t="s">
        <v>29</v>
      </c>
      <c r="P444" s="5" t="s">
        <v>30</v>
      </c>
      <c r="Q444" s="5"/>
    </row>
    <row r="445" customFormat="false" ht="15" hidden="false" customHeight="true" outlineLevel="0" collapsed="false">
      <c r="A445" s="5" t="n">
        <v>444</v>
      </c>
      <c r="B445" s="5" t="s">
        <v>2230</v>
      </c>
      <c r="C445" s="5" t="s">
        <v>2463</v>
      </c>
      <c r="D445" s="5" t="s">
        <v>2503</v>
      </c>
      <c r="E445" s="5" t="s">
        <v>2504</v>
      </c>
      <c r="F445" s="5" t="s">
        <v>2505</v>
      </c>
      <c r="G445" s="5" t="s">
        <v>2506</v>
      </c>
      <c r="H445" s="5" t="s">
        <v>2507</v>
      </c>
      <c r="I445" s="5" t="s">
        <v>24</v>
      </c>
      <c r="J445" s="5" t="s">
        <v>29</v>
      </c>
      <c r="K445" s="5"/>
      <c r="L445" s="5" t="s">
        <v>2237</v>
      </c>
      <c r="M445" s="5" t="s">
        <v>2508</v>
      </c>
      <c r="N445" s="5" t="s">
        <v>2509</v>
      </c>
      <c r="O445" s="1" t="s">
        <v>29</v>
      </c>
      <c r="P445" s="5" t="s">
        <v>30</v>
      </c>
      <c r="Q445" s="5"/>
    </row>
    <row r="446" customFormat="false" ht="15" hidden="false" customHeight="true" outlineLevel="0" collapsed="false">
      <c r="A446" s="5" t="n">
        <v>445</v>
      </c>
      <c r="B446" s="5" t="s">
        <v>2230</v>
      </c>
      <c r="C446" s="5" t="s">
        <v>2463</v>
      </c>
      <c r="D446" s="5" t="s">
        <v>2367</v>
      </c>
      <c r="E446" s="5" t="s">
        <v>2510</v>
      </c>
      <c r="F446" s="5" t="s">
        <v>2511</v>
      </c>
      <c r="G446" s="5" t="s">
        <v>2512</v>
      </c>
      <c r="H446" s="5" t="s">
        <v>2513</v>
      </c>
      <c r="I446" s="5" t="s">
        <v>24</v>
      </c>
      <c r="J446" s="5" t="s">
        <v>29</v>
      </c>
      <c r="K446" s="5"/>
      <c r="L446" s="5" t="s">
        <v>2237</v>
      </c>
      <c r="M446" s="5" t="s">
        <v>2514</v>
      </c>
      <c r="N446" s="5" t="s">
        <v>2515</v>
      </c>
      <c r="O446" s="1" t="s">
        <v>29</v>
      </c>
      <c r="P446" s="5" t="s">
        <v>30</v>
      </c>
      <c r="Q446" s="5"/>
    </row>
    <row r="447" customFormat="false" ht="15" hidden="false" customHeight="true" outlineLevel="0" collapsed="false">
      <c r="A447" s="5" t="n">
        <v>446</v>
      </c>
      <c r="B447" s="5" t="s">
        <v>2230</v>
      </c>
      <c r="C447" s="5" t="s">
        <v>2463</v>
      </c>
      <c r="D447" s="5" t="s">
        <v>2431</v>
      </c>
      <c r="E447" s="5" t="s">
        <v>2516</v>
      </c>
      <c r="F447" s="5" t="s">
        <v>2517</v>
      </c>
      <c r="G447" s="5" t="s">
        <v>2518</v>
      </c>
      <c r="H447" s="5" t="s">
        <v>2519</v>
      </c>
      <c r="I447" s="5" t="s">
        <v>24</v>
      </c>
      <c r="J447" s="5" t="s">
        <v>29</v>
      </c>
      <c r="K447" s="5"/>
      <c r="L447" s="5" t="s">
        <v>2237</v>
      </c>
      <c r="M447" s="5" t="s">
        <v>2520</v>
      </c>
      <c r="N447" s="5" t="s">
        <v>2521</v>
      </c>
      <c r="O447" s="1" t="s">
        <v>29</v>
      </c>
      <c r="P447" s="5" t="s">
        <v>30</v>
      </c>
      <c r="Q447" s="5"/>
    </row>
    <row r="448" customFormat="false" ht="15" hidden="false" customHeight="true" outlineLevel="0" collapsed="false">
      <c r="A448" s="5" t="n">
        <v>447</v>
      </c>
      <c r="B448" s="5" t="s">
        <v>2230</v>
      </c>
      <c r="C448" s="5" t="s">
        <v>2463</v>
      </c>
      <c r="D448" s="5" t="s">
        <v>2449</v>
      </c>
      <c r="E448" s="5" t="s">
        <v>2522</v>
      </c>
      <c r="F448" s="5" t="s">
        <v>2449</v>
      </c>
      <c r="G448" s="5" t="s">
        <v>2523</v>
      </c>
      <c r="H448" s="5" t="s">
        <v>2524</v>
      </c>
      <c r="I448" s="5" t="s">
        <v>24</v>
      </c>
      <c r="J448" s="5" t="s">
        <v>29</v>
      </c>
      <c r="K448" s="5"/>
      <c r="L448" s="5" t="s">
        <v>2237</v>
      </c>
      <c r="M448" s="5" t="s">
        <v>2525</v>
      </c>
      <c r="N448" s="5" t="s">
        <v>2526</v>
      </c>
      <c r="O448" s="1" t="s">
        <v>29</v>
      </c>
      <c r="P448" s="5" t="s">
        <v>30</v>
      </c>
      <c r="Q448" s="5"/>
    </row>
    <row r="449" customFormat="false" ht="15" hidden="false" customHeight="true" outlineLevel="0" collapsed="false">
      <c r="A449" s="5" t="n">
        <v>448</v>
      </c>
      <c r="B449" s="5" t="s">
        <v>2230</v>
      </c>
      <c r="C449" s="5" t="s">
        <v>2463</v>
      </c>
      <c r="D449" s="5" t="s">
        <v>2527</v>
      </c>
      <c r="E449" s="5" t="s">
        <v>2528</v>
      </c>
      <c r="F449" s="5" t="s">
        <v>2529</v>
      </c>
      <c r="G449" s="5" t="s">
        <v>2530</v>
      </c>
      <c r="H449" s="5" t="s">
        <v>2531</v>
      </c>
      <c r="I449" s="5" t="s">
        <v>24</v>
      </c>
      <c r="J449" s="5" t="s">
        <v>29</v>
      </c>
      <c r="K449" s="5"/>
      <c r="L449" s="5" t="s">
        <v>2237</v>
      </c>
      <c r="M449" s="5" t="s">
        <v>2532</v>
      </c>
      <c r="N449" s="5" t="s">
        <v>2533</v>
      </c>
      <c r="O449" s="1" t="s">
        <v>29</v>
      </c>
      <c r="P449" s="5" t="s">
        <v>30</v>
      </c>
      <c r="Q449" s="5"/>
    </row>
    <row r="450" customFormat="false" ht="15" hidden="false" customHeight="true" outlineLevel="0" collapsed="false">
      <c r="A450" s="5" t="n">
        <v>449</v>
      </c>
      <c r="B450" s="5" t="s">
        <v>2230</v>
      </c>
      <c r="C450" s="5" t="s">
        <v>2463</v>
      </c>
      <c r="D450" s="5" t="s">
        <v>2534</v>
      </c>
      <c r="E450" s="5" t="s">
        <v>2535</v>
      </c>
      <c r="F450" s="5" t="s">
        <v>2536</v>
      </c>
      <c r="G450" s="5" t="s">
        <v>2537</v>
      </c>
      <c r="H450" s="5" t="s">
        <v>2538</v>
      </c>
      <c r="I450" s="5" t="s">
        <v>24</v>
      </c>
      <c r="J450" s="5" t="s">
        <v>29</v>
      </c>
      <c r="K450" s="5"/>
      <c r="L450" s="5" t="s">
        <v>2237</v>
      </c>
      <c r="M450" s="5" t="s">
        <v>2539</v>
      </c>
      <c r="N450" s="5" t="s">
        <v>2540</v>
      </c>
      <c r="O450" s="1" t="s">
        <v>29</v>
      </c>
      <c r="P450" s="5" t="s">
        <v>30</v>
      </c>
      <c r="Q450" s="5"/>
    </row>
    <row r="451" customFormat="false" ht="15" hidden="false" customHeight="true" outlineLevel="0" collapsed="false">
      <c r="A451" s="5" t="n">
        <v>450</v>
      </c>
      <c r="B451" s="5" t="s">
        <v>2230</v>
      </c>
      <c r="C451" s="5" t="s">
        <v>2463</v>
      </c>
      <c r="D451" s="5" t="s">
        <v>2541</v>
      </c>
      <c r="E451" s="5" t="s">
        <v>2542</v>
      </c>
      <c r="F451" s="5" t="s">
        <v>2543</v>
      </c>
      <c r="G451" s="5" t="s">
        <v>2544</v>
      </c>
      <c r="H451" s="5" t="s">
        <v>2545</v>
      </c>
      <c r="I451" s="5" t="s">
        <v>24</v>
      </c>
      <c r="J451" s="5" t="s">
        <v>29</v>
      </c>
      <c r="K451" s="5"/>
      <c r="L451" s="5" t="s">
        <v>2237</v>
      </c>
      <c r="M451" s="5" t="s">
        <v>2546</v>
      </c>
      <c r="N451" s="5" t="s">
        <v>2547</v>
      </c>
      <c r="O451" s="1" t="s">
        <v>29</v>
      </c>
      <c r="P451" s="5" t="s">
        <v>30</v>
      </c>
      <c r="Q451" s="5"/>
    </row>
    <row r="452" customFormat="false" ht="15" hidden="false" customHeight="true" outlineLevel="0" collapsed="false">
      <c r="A452" s="5" t="n">
        <v>451</v>
      </c>
      <c r="B452" s="5" t="s">
        <v>2230</v>
      </c>
      <c r="C452" s="5" t="s">
        <v>2463</v>
      </c>
      <c r="D452" s="5" t="s">
        <v>2548</v>
      </c>
      <c r="E452" s="5" t="s">
        <v>2549</v>
      </c>
      <c r="F452" s="5" t="s">
        <v>2550</v>
      </c>
      <c r="G452" s="5" t="s">
        <v>2551</v>
      </c>
      <c r="H452" s="5" t="s">
        <v>2552</v>
      </c>
      <c r="I452" s="5" t="s">
        <v>24</v>
      </c>
      <c r="J452" s="5" t="s">
        <v>29</v>
      </c>
      <c r="K452" s="5"/>
      <c r="L452" s="5" t="s">
        <v>2237</v>
      </c>
      <c r="M452" s="5" t="s">
        <v>2553</v>
      </c>
      <c r="N452" s="5" t="s">
        <v>2554</v>
      </c>
      <c r="O452" s="1" t="s">
        <v>29</v>
      </c>
      <c r="P452" s="5" t="s">
        <v>922</v>
      </c>
      <c r="Q452" s="5" t="s">
        <v>2555</v>
      </c>
    </row>
    <row r="453" customFormat="false" ht="15" hidden="false" customHeight="true" outlineLevel="0" collapsed="false">
      <c r="A453" s="7" t="n">
        <v>452</v>
      </c>
      <c r="B453" s="7" t="s">
        <v>2230</v>
      </c>
      <c r="C453" s="7" t="s">
        <v>2231</v>
      </c>
      <c r="D453" s="7" t="s">
        <v>2431</v>
      </c>
      <c r="E453" s="7" t="s">
        <v>2246</v>
      </c>
      <c r="F453" s="7" t="s">
        <v>2556</v>
      </c>
      <c r="G453" s="7" t="s">
        <v>2557</v>
      </c>
      <c r="H453" s="7" t="s">
        <v>2558</v>
      </c>
      <c r="I453" s="7" t="s">
        <v>2559</v>
      </c>
      <c r="J453" s="7"/>
      <c r="K453" s="7"/>
      <c r="L453" s="7"/>
      <c r="M453" s="7" t="s">
        <v>2560</v>
      </c>
      <c r="N453" s="7" t="s">
        <v>2561</v>
      </c>
      <c r="P453" s="5"/>
      <c r="Q453" s="5"/>
    </row>
    <row r="454" customFormat="false" ht="15" hidden="false" customHeight="true" outlineLevel="0" collapsed="false">
      <c r="A454" s="7" t="n">
        <v>453</v>
      </c>
      <c r="B454" s="7" t="s">
        <v>2230</v>
      </c>
      <c r="C454" s="7" t="s">
        <v>2231</v>
      </c>
      <c r="D454" s="7" t="s">
        <v>2431</v>
      </c>
      <c r="E454" s="7" t="s">
        <v>2246</v>
      </c>
      <c r="F454" s="7" t="s">
        <v>2562</v>
      </c>
      <c r="G454" s="7" t="s">
        <v>2563</v>
      </c>
      <c r="H454" s="7" t="s">
        <v>2564</v>
      </c>
      <c r="I454" s="7" t="s">
        <v>2559</v>
      </c>
      <c r="J454" s="7"/>
      <c r="K454" s="7"/>
      <c r="L454" s="7"/>
      <c r="M454" s="7" t="s">
        <v>2250</v>
      </c>
      <c r="N454" s="7" t="s">
        <v>2565</v>
      </c>
      <c r="P454" s="5"/>
      <c r="Q454" s="5"/>
    </row>
    <row r="455" customFormat="false" ht="15" hidden="false" customHeight="true" outlineLevel="0" collapsed="false">
      <c r="A455" s="7" t="n">
        <v>454</v>
      </c>
      <c r="B455" s="7" t="s">
        <v>2230</v>
      </c>
      <c r="C455" s="7" t="s">
        <v>2231</v>
      </c>
      <c r="D455" s="7" t="s">
        <v>2431</v>
      </c>
      <c r="E455" s="7" t="s">
        <v>2566</v>
      </c>
      <c r="F455" s="7" t="s">
        <v>2567</v>
      </c>
      <c r="G455" s="7" t="s">
        <v>2568</v>
      </c>
      <c r="H455" s="7"/>
      <c r="I455" s="7" t="s">
        <v>1872</v>
      </c>
      <c r="J455" s="7"/>
      <c r="K455" s="7"/>
      <c r="L455" s="7"/>
      <c r="M455" s="7" t="s">
        <v>2569</v>
      </c>
      <c r="N455" s="7" t="s">
        <v>2570</v>
      </c>
      <c r="P455" s="5"/>
      <c r="Q455" s="5"/>
    </row>
    <row r="456" customFormat="false" ht="15" hidden="false" customHeight="true" outlineLevel="0" collapsed="false">
      <c r="A456" s="7" t="n">
        <v>455</v>
      </c>
      <c r="B456" s="7" t="s">
        <v>2230</v>
      </c>
      <c r="C456" s="7" t="s">
        <v>2231</v>
      </c>
      <c r="D456" s="7" t="s">
        <v>2431</v>
      </c>
      <c r="E456" s="7" t="s">
        <v>2571</v>
      </c>
      <c r="F456" s="7" t="s">
        <v>2572</v>
      </c>
      <c r="G456" s="7" t="s">
        <v>2573</v>
      </c>
      <c r="H456" s="7" t="s">
        <v>2574</v>
      </c>
      <c r="I456" s="7" t="s">
        <v>2575</v>
      </c>
      <c r="J456" s="7"/>
      <c r="K456" s="7"/>
      <c r="L456" s="7"/>
      <c r="M456" s="7" t="s">
        <v>2576</v>
      </c>
      <c r="N456" s="7" t="s">
        <v>2577</v>
      </c>
      <c r="P456" s="5"/>
      <c r="Q456" s="5"/>
    </row>
    <row r="457" customFormat="false" ht="15" hidden="false" customHeight="true" outlineLevel="0" collapsed="false">
      <c r="A457" s="7" t="n">
        <v>456</v>
      </c>
      <c r="B457" s="7" t="s">
        <v>2230</v>
      </c>
      <c r="C457" s="7" t="s">
        <v>2231</v>
      </c>
      <c r="D457" s="7" t="s">
        <v>2258</v>
      </c>
      <c r="E457" s="7" t="s">
        <v>2578</v>
      </c>
      <c r="F457" s="7" t="s">
        <v>2579</v>
      </c>
      <c r="G457" s="7" t="s">
        <v>2580</v>
      </c>
      <c r="H457" s="7" t="s">
        <v>2581</v>
      </c>
      <c r="I457" s="7" t="s">
        <v>2582</v>
      </c>
      <c r="J457" s="7"/>
      <c r="K457" s="7"/>
      <c r="L457" s="7"/>
      <c r="M457" s="7" t="s">
        <v>2583</v>
      </c>
      <c r="N457" s="7" t="s">
        <v>2584</v>
      </c>
      <c r="P457" s="5"/>
      <c r="Q457" s="5"/>
    </row>
    <row r="458" customFormat="false" ht="15" hidden="false" customHeight="true" outlineLevel="0" collapsed="false">
      <c r="A458" s="7" t="n">
        <v>457</v>
      </c>
      <c r="B458" s="7" t="s">
        <v>2230</v>
      </c>
      <c r="C458" s="7" t="s">
        <v>2231</v>
      </c>
      <c r="D458" s="7" t="s">
        <v>2265</v>
      </c>
      <c r="E458" s="7" t="s">
        <v>2273</v>
      </c>
      <c r="F458" s="7" t="s">
        <v>2585</v>
      </c>
      <c r="G458" s="7" t="s">
        <v>2586</v>
      </c>
      <c r="H458" s="7" t="s">
        <v>2587</v>
      </c>
      <c r="I458" s="7" t="s">
        <v>2588</v>
      </c>
      <c r="J458" s="7"/>
      <c r="K458" s="7"/>
      <c r="L458" s="7"/>
      <c r="M458" s="7" t="s">
        <v>2589</v>
      </c>
      <c r="N458" s="7" t="s">
        <v>2590</v>
      </c>
      <c r="P458" s="5"/>
      <c r="Q458" s="5"/>
    </row>
    <row r="459" customFormat="false" ht="15" hidden="false" customHeight="true" outlineLevel="0" collapsed="false">
      <c r="A459" s="7" t="n">
        <v>458</v>
      </c>
      <c r="B459" s="7" t="s">
        <v>2230</v>
      </c>
      <c r="C459" s="7" t="s">
        <v>2231</v>
      </c>
      <c r="D459" s="7" t="s">
        <v>2265</v>
      </c>
      <c r="E459" s="7" t="s">
        <v>2591</v>
      </c>
      <c r="F459" s="7" t="s">
        <v>2592</v>
      </c>
      <c r="G459" s="7" t="s">
        <v>2593</v>
      </c>
      <c r="H459" s="7"/>
      <c r="I459" s="7" t="s">
        <v>1872</v>
      </c>
      <c r="J459" s="7"/>
      <c r="K459" s="7"/>
      <c r="L459" s="7"/>
      <c r="M459" s="7" t="s">
        <v>2594</v>
      </c>
      <c r="N459" s="7" t="s">
        <v>2595</v>
      </c>
      <c r="P459" s="5"/>
      <c r="Q459" s="5"/>
    </row>
    <row r="460" customFormat="false" ht="15" hidden="false" customHeight="true" outlineLevel="0" collapsed="false">
      <c r="A460" s="7" t="n">
        <v>459</v>
      </c>
      <c r="B460" s="7" t="s">
        <v>2230</v>
      </c>
      <c r="C460" s="7" t="s">
        <v>2231</v>
      </c>
      <c r="D460" s="7" t="s">
        <v>2279</v>
      </c>
      <c r="E460" s="7" t="s">
        <v>2596</v>
      </c>
      <c r="F460" s="7" t="s">
        <v>2597</v>
      </c>
      <c r="G460" s="7" t="s">
        <v>2598</v>
      </c>
      <c r="H460" s="7"/>
      <c r="I460" s="7" t="s">
        <v>1872</v>
      </c>
      <c r="J460" s="7"/>
      <c r="K460" s="7"/>
      <c r="L460" s="7"/>
      <c r="M460" s="7" t="s">
        <v>2599</v>
      </c>
      <c r="N460" s="7" t="s">
        <v>2600</v>
      </c>
      <c r="P460" s="5"/>
      <c r="Q460" s="5"/>
    </row>
    <row r="461" customFormat="false" ht="15" hidden="false" customHeight="true" outlineLevel="0" collapsed="false">
      <c r="A461" s="7" t="n">
        <v>460</v>
      </c>
      <c r="B461" s="7" t="s">
        <v>2230</v>
      </c>
      <c r="C461" s="7" t="s">
        <v>2231</v>
      </c>
      <c r="D461" s="7" t="s">
        <v>2601</v>
      </c>
      <c r="E461" s="7" t="s">
        <v>2602</v>
      </c>
      <c r="F461" s="7" t="s">
        <v>2603</v>
      </c>
      <c r="G461" s="7" t="s">
        <v>2604</v>
      </c>
      <c r="H461" s="7" t="s">
        <v>2605</v>
      </c>
      <c r="I461" s="7" t="s">
        <v>2606</v>
      </c>
      <c r="J461" s="7"/>
      <c r="K461" s="7"/>
      <c r="L461" s="7"/>
      <c r="M461" s="7" t="s">
        <v>2607</v>
      </c>
      <c r="N461" s="7" t="s">
        <v>2608</v>
      </c>
      <c r="P461" s="5"/>
      <c r="Q461" s="5"/>
    </row>
    <row r="462" customFormat="false" ht="15" hidden="false" customHeight="true" outlineLevel="0" collapsed="false">
      <c r="A462" s="7" t="n">
        <v>461</v>
      </c>
      <c r="B462" s="7" t="s">
        <v>2230</v>
      </c>
      <c r="C462" s="7" t="s">
        <v>2231</v>
      </c>
      <c r="D462" s="7" t="s">
        <v>2609</v>
      </c>
      <c r="E462" s="7" t="s">
        <v>2610</v>
      </c>
      <c r="F462" s="7" t="s">
        <v>2611</v>
      </c>
      <c r="G462" s="7" t="s">
        <v>2612</v>
      </c>
      <c r="H462" s="7" t="s">
        <v>2613</v>
      </c>
      <c r="I462" s="7" t="s">
        <v>2614</v>
      </c>
      <c r="J462" s="7"/>
      <c r="K462" s="7"/>
      <c r="L462" s="7"/>
      <c r="M462" s="7" t="s">
        <v>2607</v>
      </c>
      <c r="N462" s="7" t="s">
        <v>2615</v>
      </c>
      <c r="P462" s="5"/>
      <c r="Q462" s="5"/>
    </row>
    <row r="463" customFormat="false" ht="15" hidden="false" customHeight="true" outlineLevel="0" collapsed="false">
      <c r="A463" s="7" t="n">
        <v>462</v>
      </c>
      <c r="B463" s="7" t="s">
        <v>2230</v>
      </c>
      <c r="C463" s="7" t="s">
        <v>2231</v>
      </c>
      <c r="D463" s="7" t="s">
        <v>2616</v>
      </c>
      <c r="E463" s="7" t="s">
        <v>2617</v>
      </c>
      <c r="F463" s="7" t="s">
        <v>2618</v>
      </c>
      <c r="G463" s="7" t="s">
        <v>2619</v>
      </c>
      <c r="H463" s="7"/>
      <c r="I463" s="7" t="s">
        <v>1872</v>
      </c>
      <c r="J463" s="7"/>
      <c r="K463" s="7"/>
      <c r="L463" s="7"/>
      <c r="M463" s="7" t="s">
        <v>2620</v>
      </c>
      <c r="N463" s="7" t="s">
        <v>2621</v>
      </c>
      <c r="P463" s="5"/>
      <c r="Q463" s="5"/>
    </row>
    <row r="464" customFormat="false" ht="15" hidden="false" customHeight="true" outlineLevel="0" collapsed="false">
      <c r="A464" s="7" t="n">
        <v>463</v>
      </c>
      <c r="B464" s="7" t="s">
        <v>2230</v>
      </c>
      <c r="C464" s="7" t="s">
        <v>2231</v>
      </c>
      <c r="D464" s="7" t="s">
        <v>2622</v>
      </c>
      <c r="E464" s="7" t="s">
        <v>2623</v>
      </c>
      <c r="F464" s="7" t="s">
        <v>2624</v>
      </c>
      <c r="G464" s="7" t="s">
        <v>2625</v>
      </c>
      <c r="H464" s="7"/>
      <c r="I464" s="7" t="s">
        <v>1872</v>
      </c>
      <c r="J464" s="7"/>
      <c r="K464" s="7"/>
      <c r="L464" s="7"/>
      <c r="M464" s="7" t="s">
        <v>2626</v>
      </c>
      <c r="N464" s="7" t="s">
        <v>2627</v>
      </c>
      <c r="P464" s="5"/>
      <c r="Q464" s="5"/>
    </row>
    <row r="465" customFormat="false" ht="15" hidden="false" customHeight="true" outlineLevel="0" collapsed="false">
      <c r="A465" s="7" t="n">
        <v>464</v>
      </c>
      <c r="B465" s="7" t="s">
        <v>2230</v>
      </c>
      <c r="C465" s="7" t="s">
        <v>2231</v>
      </c>
      <c r="D465" s="7" t="s">
        <v>2628</v>
      </c>
      <c r="E465" s="7" t="s">
        <v>2629</v>
      </c>
      <c r="F465" s="7" t="s">
        <v>2630</v>
      </c>
      <c r="G465" s="7" t="s">
        <v>2631</v>
      </c>
      <c r="H465" s="7"/>
      <c r="I465" s="7" t="s">
        <v>1872</v>
      </c>
      <c r="J465" s="7"/>
      <c r="K465" s="7"/>
      <c r="L465" s="7"/>
      <c r="M465" s="7" t="s">
        <v>2632</v>
      </c>
      <c r="N465" s="7" t="s">
        <v>2633</v>
      </c>
      <c r="P465" s="5"/>
      <c r="Q465" s="5"/>
    </row>
    <row r="466" customFormat="false" ht="15" hidden="false" customHeight="true" outlineLevel="0" collapsed="false">
      <c r="A466" s="7" t="n">
        <v>465</v>
      </c>
      <c r="B466" s="7" t="s">
        <v>2230</v>
      </c>
      <c r="C466" s="7" t="s">
        <v>2231</v>
      </c>
      <c r="D466" s="7" t="s">
        <v>2634</v>
      </c>
      <c r="E466" s="7" t="s">
        <v>2635</v>
      </c>
      <c r="F466" s="7" t="s">
        <v>2636</v>
      </c>
      <c r="G466" s="7" t="s">
        <v>2637</v>
      </c>
      <c r="H466" s="7"/>
      <c r="I466" s="7" t="s">
        <v>1872</v>
      </c>
      <c r="J466" s="7"/>
      <c r="K466" s="7"/>
      <c r="L466" s="7"/>
      <c r="M466" s="7" t="s">
        <v>2638</v>
      </c>
      <c r="N466" s="7" t="s">
        <v>2639</v>
      </c>
      <c r="P466" s="5"/>
      <c r="Q466" s="5"/>
    </row>
    <row r="467" customFormat="false" ht="15" hidden="false" customHeight="true" outlineLevel="0" collapsed="false">
      <c r="A467" s="7" t="n">
        <v>466</v>
      </c>
      <c r="B467" s="7" t="s">
        <v>2230</v>
      </c>
      <c r="C467" s="7" t="s">
        <v>2231</v>
      </c>
      <c r="D467" s="7" t="s">
        <v>2640</v>
      </c>
      <c r="E467" s="7" t="s">
        <v>2641</v>
      </c>
      <c r="F467" s="7" t="s">
        <v>2642</v>
      </c>
      <c r="G467" s="7" t="s">
        <v>2643</v>
      </c>
      <c r="H467" s="7" t="s">
        <v>2644</v>
      </c>
      <c r="I467" s="7" t="s">
        <v>2645</v>
      </c>
      <c r="J467" s="7"/>
      <c r="K467" s="7"/>
      <c r="L467" s="7"/>
      <c r="M467" s="7" t="s">
        <v>2646</v>
      </c>
      <c r="N467" s="7" t="s">
        <v>2647</v>
      </c>
      <c r="P467" s="5"/>
      <c r="Q467" s="5"/>
    </row>
    <row r="468" customFormat="false" ht="15" hidden="false" customHeight="true" outlineLevel="0" collapsed="false">
      <c r="A468" s="7" t="n">
        <v>467</v>
      </c>
      <c r="B468" s="7" t="s">
        <v>2230</v>
      </c>
      <c r="C468" s="7" t="s">
        <v>2340</v>
      </c>
      <c r="D468" s="7" t="s">
        <v>2648</v>
      </c>
      <c r="E468" s="7" t="s">
        <v>2649</v>
      </c>
      <c r="F468" s="7" t="s">
        <v>2650</v>
      </c>
      <c r="G468" s="7" t="s">
        <v>2651</v>
      </c>
      <c r="H468" s="7" t="s">
        <v>2652</v>
      </c>
      <c r="I468" s="7" t="s">
        <v>2653</v>
      </c>
      <c r="J468" s="7"/>
      <c r="K468" s="7"/>
      <c r="L468" s="7"/>
      <c r="M468" s="7" t="s">
        <v>2654</v>
      </c>
      <c r="N468" s="7" t="s">
        <v>2655</v>
      </c>
      <c r="P468" s="5"/>
      <c r="Q468" s="5"/>
    </row>
    <row r="469" customFormat="false" ht="15" hidden="false" customHeight="true" outlineLevel="0" collapsed="false">
      <c r="A469" s="7" t="n">
        <v>468</v>
      </c>
      <c r="B469" s="7" t="s">
        <v>2230</v>
      </c>
      <c r="C469" s="7" t="s">
        <v>2340</v>
      </c>
      <c r="D469" s="7" t="s">
        <v>2656</v>
      </c>
      <c r="E469" s="7" t="s">
        <v>2657</v>
      </c>
      <c r="F469" s="7" t="s">
        <v>2658</v>
      </c>
      <c r="G469" s="7" t="s">
        <v>2659</v>
      </c>
      <c r="H469" s="7" t="s">
        <v>2660</v>
      </c>
      <c r="I469" s="7" t="s">
        <v>2661</v>
      </c>
      <c r="J469" s="7"/>
      <c r="K469" s="7"/>
      <c r="L469" s="7"/>
      <c r="M469" s="7" t="s">
        <v>2662</v>
      </c>
      <c r="N469" s="7" t="s">
        <v>2663</v>
      </c>
      <c r="P469" s="5"/>
      <c r="Q469" s="5"/>
    </row>
    <row r="470" customFormat="false" ht="15" hidden="false" customHeight="true" outlineLevel="0" collapsed="false">
      <c r="A470" s="7" t="n">
        <v>469</v>
      </c>
      <c r="B470" s="7" t="s">
        <v>2230</v>
      </c>
      <c r="C470" s="7" t="s">
        <v>2340</v>
      </c>
      <c r="D470" s="7" t="s">
        <v>2664</v>
      </c>
      <c r="E470" s="7" t="s">
        <v>2665</v>
      </c>
      <c r="F470" s="7" t="s">
        <v>2666</v>
      </c>
      <c r="G470" s="7" t="s">
        <v>2667</v>
      </c>
      <c r="H470" s="7" t="s">
        <v>2668</v>
      </c>
      <c r="I470" s="7" t="s">
        <v>2669</v>
      </c>
      <c r="J470" s="7"/>
      <c r="K470" s="7"/>
      <c r="L470" s="7"/>
      <c r="M470" s="7" t="s">
        <v>2670</v>
      </c>
      <c r="N470" s="7" t="s">
        <v>2671</v>
      </c>
      <c r="P470" s="5"/>
      <c r="Q470" s="5"/>
    </row>
    <row r="471" customFormat="false" ht="15" hidden="false" customHeight="true" outlineLevel="0" collapsed="false">
      <c r="A471" s="7" t="n">
        <v>470</v>
      </c>
      <c r="B471" s="7" t="s">
        <v>2230</v>
      </c>
      <c r="C471" s="7" t="s">
        <v>2340</v>
      </c>
      <c r="D471" s="7" t="s">
        <v>2672</v>
      </c>
      <c r="E471" s="7" t="s">
        <v>2673</v>
      </c>
      <c r="F471" s="7" t="s">
        <v>2674</v>
      </c>
      <c r="G471" s="7" t="s">
        <v>2675</v>
      </c>
      <c r="H471" s="7"/>
      <c r="I471" s="7" t="s">
        <v>1872</v>
      </c>
      <c r="J471" s="7"/>
      <c r="K471" s="7"/>
      <c r="L471" s="7"/>
      <c r="M471" s="7" t="s">
        <v>2676</v>
      </c>
      <c r="N471" s="7" t="s">
        <v>2677</v>
      </c>
      <c r="P471" s="5"/>
      <c r="Q471" s="5"/>
    </row>
    <row r="472" customFormat="false" ht="15" hidden="false" customHeight="true" outlineLevel="0" collapsed="false">
      <c r="A472" s="7" t="n">
        <v>471</v>
      </c>
      <c r="B472" s="7" t="s">
        <v>2230</v>
      </c>
      <c r="C472" s="7" t="s">
        <v>2340</v>
      </c>
      <c r="D472" s="7" t="s">
        <v>2367</v>
      </c>
      <c r="E472" s="7" t="s">
        <v>2361</v>
      </c>
      <c r="F472" s="7" t="s">
        <v>2678</v>
      </c>
      <c r="G472" s="7" t="s">
        <v>2679</v>
      </c>
      <c r="H472" s="7" t="s">
        <v>2680</v>
      </c>
      <c r="I472" s="7" t="s">
        <v>2681</v>
      </c>
      <c r="J472" s="7"/>
      <c r="K472" s="7"/>
      <c r="L472" s="7"/>
      <c r="M472" s="7" t="s">
        <v>2682</v>
      </c>
      <c r="N472" s="7" t="s">
        <v>2683</v>
      </c>
      <c r="P472" s="5"/>
      <c r="Q472" s="5"/>
    </row>
    <row r="473" customFormat="false" ht="15" hidden="false" customHeight="true" outlineLevel="0" collapsed="false">
      <c r="A473" s="7" t="n">
        <v>472</v>
      </c>
      <c r="B473" s="7" t="s">
        <v>2230</v>
      </c>
      <c r="C473" s="7" t="s">
        <v>2340</v>
      </c>
      <c r="D473" s="7" t="s">
        <v>2431</v>
      </c>
      <c r="E473" s="7" t="s">
        <v>2368</v>
      </c>
      <c r="F473" s="7" t="s">
        <v>2684</v>
      </c>
      <c r="G473" s="7" t="s">
        <v>2685</v>
      </c>
      <c r="H473" s="7" t="s">
        <v>2686</v>
      </c>
      <c r="I473" s="7" t="s">
        <v>2687</v>
      </c>
      <c r="J473" s="7"/>
      <c r="K473" s="7"/>
      <c r="L473" s="7"/>
      <c r="M473" s="7" t="s">
        <v>2688</v>
      </c>
      <c r="N473" s="7" t="s">
        <v>2689</v>
      </c>
      <c r="P473" s="5"/>
      <c r="Q473" s="5"/>
    </row>
    <row r="474" customFormat="false" ht="15" hidden="false" customHeight="true" outlineLevel="0" collapsed="false">
      <c r="A474" s="7" t="n">
        <v>473</v>
      </c>
      <c r="B474" s="7" t="s">
        <v>2230</v>
      </c>
      <c r="C474" s="7" t="s">
        <v>2340</v>
      </c>
      <c r="D474" s="7" t="s">
        <v>2431</v>
      </c>
      <c r="E474" s="7" t="s">
        <v>2368</v>
      </c>
      <c r="F474" s="7" t="s">
        <v>2690</v>
      </c>
      <c r="G474" s="7" t="s">
        <v>2691</v>
      </c>
      <c r="H474" s="7" t="s">
        <v>2692</v>
      </c>
      <c r="I474" s="7" t="s">
        <v>2687</v>
      </c>
      <c r="J474" s="7"/>
      <c r="K474" s="7"/>
      <c r="L474" s="7"/>
      <c r="M474" s="7" t="s">
        <v>2693</v>
      </c>
      <c r="N474" s="7" t="s">
        <v>2694</v>
      </c>
      <c r="P474" s="5"/>
      <c r="Q474" s="5"/>
    </row>
    <row r="475" customFormat="false" ht="15" hidden="false" customHeight="true" outlineLevel="0" collapsed="false">
      <c r="A475" s="7" t="n">
        <v>474</v>
      </c>
      <c r="B475" s="7" t="s">
        <v>2230</v>
      </c>
      <c r="C475" s="7" t="s">
        <v>2340</v>
      </c>
      <c r="D475" s="7" t="s">
        <v>2386</v>
      </c>
      <c r="E475" s="7" t="s">
        <v>2387</v>
      </c>
      <c r="F475" s="7" t="s">
        <v>2695</v>
      </c>
      <c r="G475" s="7" t="s">
        <v>2696</v>
      </c>
      <c r="H475" s="7" t="s">
        <v>2697</v>
      </c>
      <c r="I475" s="7" t="s">
        <v>2698</v>
      </c>
      <c r="J475" s="7"/>
      <c r="K475" s="7"/>
      <c r="L475" s="7"/>
      <c r="M475" s="7" t="s">
        <v>2391</v>
      </c>
      <c r="N475" s="7" t="s">
        <v>2699</v>
      </c>
      <c r="P475" s="5"/>
      <c r="Q475" s="5"/>
    </row>
    <row r="476" customFormat="false" ht="15" hidden="false" customHeight="true" outlineLevel="0" collapsed="false">
      <c r="A476" s="7" t="n">
        <v>475</v>
      </c>
      <c r="B476" s="7" t="s">
        <v>2230</v>
      </c>
      <c r="C476" s="7" t="s">
        <v>2340</v>
      </c>
      <c r="D476" s="7" t="s">
        <v>2265</v>
      </c>
      <c r="E476" s="7" t="s">
        <v>2700</v>
      </c>
      <c r="F476" s="7" t="s">
        <v>2701</v>
      </c>
      <c r="G476" s="7" t="s">
        <v>2702</v>
      </c>
      <c r="H476" s="7" t="s">
        <v>2703</v>
      </c>
      <c r="I476" s="7" t="s">
        <v>2704</v>
      </c>
      <c r="J476" s="7"/>
      <c r="K476" s="7"/>
      <c r="L476" s="7"/>
      <c r="M476" s="7" t="s">
        <v>2705</v>
      </c>
      <c r="N476" s="7" t="s">
        <v>2706</v>
      </c>
      <c r="P476" s="5"/>
      <c r="Q476" s="5"/>
    </row>
    <row r="477" customFormat="false" ht="15" hidden="false" customHeight="true" outlineLevel="0" collapsed="false">
      <c r="A477" s="7" t="n">
        <v>476</v>
      </c>
      <c r="B477" s="7" t="s">
        <v>2230</v>
      </c>
      <c r="C477" s="7" t="s">
        <v>2340</v>
      </c>
      <c r="D477" s="7" t="s">
        <v>2265</v>
      </c>
      <c r="E477" s="7" t="s">
        <v>2707</v>
      </c>
      <c r="F477" s="7" t="s">
        <v>2708</v>
      </c>
      <c r="G477" s="7" t="s">
        <v>2709</v>
      </c>
      <c r="H477" s="7" t="s">
        <v>2710</v>
      </c>
      <c r="I477" s="7" t="s">
        <v>2711</v>
      </c>
      <c r="J477" s="7"/>
      <c r="K477" s="7"/>
      <c r="L477" s="7"/>
      <c r="M477" s="7" t="s">
        <v>2712</v>
      </c>
      <c r="N477" s="7" t="s">
        <v>2713</v>
      </c>
      <c r="P477" s="5"/>
      <c r="Q477" s="5"/>
    </row>
    <row r="478" customFormat="false" ht="15" hidden="false" customHeight="true" outlineLevel="0" collapsed="false">
      <c r="A478" s="7" t="n">
        <v>477</v>
      </c>
      <c r="B478" s="7" t="s">
        <v>2230</v>
      </c>
      <c r="C478" s="7" t="s">
        <v>2340</v>
      </c>
      <c r="D478" s="7" t="s">
        <v>2367</v>
      </c>
      <c r="E478" s="7" t="s">
        <v>2714</v>
      </c>
      <c r="F478" s="7" t="s">
        <v>2715</v>
      </c>
      <c r="G478" s="7" t="s">
        <v>2716</v>
      </c>
      <c r="H478" s="7" t="s">
        <v>2717</v>
      </c>
      <c r="I478" s="7" t="s">
        <v>2711</v>
      </c>
      <c r="J478" s="7"/>
      <c r="K478" s="7"/>
      <c r="L478" s="7"/>
      <c r="M478" s="7" t="s">
        <v>2718</v>
      </c>
      <c r="N478" s="7" t="s">
        <v>2719</v>
      </c>
      <c r="P478" s="5"/>
      <c r="Q478" s="5"/>
    </row>
    <row r="479" customFormat="false" ht="15" hidden="false" customHeight="true" outlineLevel="0" collapsed="false">
      <c r="A479" s="7" t="n">
        <v>478</v>
      </c>
      <c r="B479" s="7" t="s">
        <v>2230</v>
      </c>
      <c r="C479" s="7" t="s">
        <v>2340</v>
      </c>
      <c r="D479" s="7" t="s">
        <v>2720</v>
      </c>
      <c r="E479" s="7" t="s">
        <v>2721</v>
      </c>
      <c r="F479" s="7" t="s">
        <v>2722</v>
      </c>
      <c r="G479" s="7" t="s">
        <v>2723</v>
      </c>
      <c r="H479" s="7"/>
      <c r="I479" s="7" t="s">
        <v>1872</v>
      </c>
      <c r="J479" s="7"/>
      <c r="K479" s="7"/>
      <c r="L479" s="7"/>
      <c r="M479" s="7" t="s">
        <v>2724</v>
      </c>
      <c r="N479" s="7" t="s">
        <v>2725</v>
      </c>
      <c r="P479" s="5"/>
      <c r="Q479" s="5"/>
    </row>
    <row r="480" customFormat="false" ht="15" hidden="false" customHeight="true" outlineLevel="0" collapsed="false">
      <c r="A480" s="7" t="n">
        <v>479</v>
      </c>
      <c r="B480" s="7" t="s">
        <v>2230</v>
      </c>
      <c r="C480" s="7" t="s">
        <v>2340</v>
      </c>
      <c r="D480" s="7" t="s">
        <v>2449</v>
      </c>
      <c r="E480" s="7" t="s">
        <v>2726</v>
      </c>
      <c r="F480" s="7" t="s">
        <v>2727</v>
      </c>
      <c r="G480" s="7" t="s">
        <v>2728</v>
      </c>
      <c r="H480" s="7"/>
      <c r="I480" s="7" t="s">
        <v>1872</v>
      </c>
      <c r="J480" s="7"/>
      <c r="K480" s="7"/>
      <c r="L480" s="7"/>
      <c r="M480" s="7" t="s">
        <v>2729</v>
      </c>
      <c r="N480" s="7" t="s">
        <v>2730</v>
      </c>
      <c r="P480" s="5"/>
      <c r="Q480" s="5"/>
    </row>
    <row r="481" customFormat="false" ht="15" hidden="false" customHeight="true" outlineLevel="0" collapsed="false">
      <c r="A481" s="7" t="n">
        <v>480</v>
      </c>
      <c r="B481" s="7" t="s">
        <v>2230</v>
      </c>
      <c r="C481" s="7" t="s">
        <v>2340</v>
      </c>
      <c r="D481" s="7" t="s">
        <v>2634</v>
      </c>
      <c r="E481" s="7" t="s">
        <v>2635</v>
      </c>
      <c r="F481" s="7" t="s">
        <v>2731</v>
      </c>
      <c r="G481" s="7" t="s">
        <v>2637</v>
      </c>
      <c r="H481" s="7"/>
      <c r="I481" s="7" t="s">
        <v>1872</v>
      </c>
      <c r="J481" s="7"/>
      <c r="K481" s="7"/>
      <c r="L481" s="7"/>
      <c r="M481" s="7" t="s">
        <v>2638</v>
      </c>
      <c r="N481" s="7" t="s">
        <v>2732</v>
      </c>
      <c r="P481" s="5"/>
      <c r="Q481" s="5"/>
    </row>
    <row r="482" customFormat="false" ht="15" hidden="false" customHeight="true" outlineLevel="0" collapsed="false">
      <c r="A482" s="7" t="n">
        <v>481</v>
      </c>
      <c r="B482" s="7" t="s">
        <v>2230</v>
      </c>
      <c r="C482" s="7" t="s">
        <v>2340</v>
      </c>
      <c r="D482" s="7" t="s">
        <v>2733</v>
      </c>
      <c r="E482" s="7" t="s">
        <v>2734</v>
      </c>
      <c r="F482" s="7" t="s">
        <v>2735</v>
      </c>
      <c r="G482" s="7" t="s">
        <v>2736</v>
      </c>
      <c r="H482" s="7"/>
      <c r="I482" s="7" t="s">
        <v>1872</v>
      </c>
      <c r="J482" s="7"/>
      <c r="K482" s="7"/>
      <c r="L482" s="7"/>
      <c r="M482" s="7" t="s">
        <v>2737</v>
      </c>
      <c r="N482" s="7" t="s">
        <v>2738</v>
      </c>
      <c r="P482" s="5"/>
      <c r="Q482" s="5"/>
    </row>
    <row r="483" customFormat="false" ht="15" hidden="false" customHeight="true" outlineLevel="0" collapsed="false">
      <c r="A483" s="7" t="n">
        <v>482</v>
      </c>
      <c r="B483" s="7" t="s">
        <v>2230</v>
      </c>
      <c r="C483" s="7" t="s">
        <v>2340</v>
      </c>
      <c r="D483" s="7" t="s">
        <v>2739</v>
      </c>
      <c r="E483" s="7" t="s">
        <v>2740</v>
      </c>
      <c r="F483" s="7" t="s">
        <v>2741</v>
      </c>
      <c r="G483" s="7" t="s">
        <v>2742</v>
      </c>
      <c r="H483" s="7"/>
      <c r="I483" s="7" t="s">
        <v>1872</v>
      </c>
      <c r="J483" s="7"/>
      <c r="K483" s="7"/>
      <c r="L483" s="7"/>
      <c r="M483" s="7" t="s">
        <v>2743</v>
      </c>
      <c r="N483" s="7" t="s">
        <v>2744</v>
      </c>
      <c r="P483" s="5"/>
      <c r="Q483" s="5"/>
    </row>
    <row r="484" customFormat="false" ht="15" hidden="false" customHeight="true" outlineLevel="0" collapsed="false">
      <c r="A484" s="7" t="n">
        <v>483</v>
      </c>
      <c r="B484" s="7" t="s">
        <v>2230</v>
      </c>
      <c r="C484" s="7" t="s">
        <v>2340</v>
      </c>
      <c r="D484" s="7" t="s">
        <v>2745</v>
      </c>
      <c r="E484" s="7" t="s">
        <v>2746</v>
      </c>
      <c r="F484" s="7" t="s">
        <v>2747</v>
      </c>
      <c r="G484" s="7" t="s">
        <v>2748</v>
      </c>
      <c r="H484" s="7" t="s">
        <v>2358</v>
      </c>
      <c r="I484" s="7" t="s">
        <v>2749</v>
      </c>
      <c r="J484" s="7"/>
      <c r="K484" s="7"/>
      <c r="L484" s="7"/>
      <c r="M484" s="7" t="s">
        <v>2359</v>
      </c>
      <c r="N484" s="7" t="s">
        <v>2750</v>
      </c>
      <c r="P484" s="5"/>
      <c r="Q484" s="5"/>
    </row>
    <row r="485" customFormat="false" ht="15" hidden="false" customHeight="true" outlineLevel="0" collapsed="false">
      <c r="A485" s="7" t="n">
        <v>484</v>
      </c>
      <c r="B485" s="7" t="s">
        <v>2230</v>
      </c>
      <c r="C485" s="7" t="s">
        <v>2463</v>
      </c>
      <c r="D485" s="7" t="s">
        <v>2279</v>
      </c>
      <c r="E485" s="7" t="s">
        <v>2751</v>
      </c>
      <c r="F485" s="7" t="s">
        <v>2752</v>
      </c>
      <c r="G485" s="7" t="s">
        <v>2753</v>
      </c>
      <c r="H485" s="7"/>
      <c r="I485" s="7" t="s">
        <v>1872</v>
      </c>
      <c r="J485" s="7"/>
      <c r="K485" s="7"/>
      <c r="L485" s="7"/>
      <c r="M485" s="7" t="s">
        <v>2754</v>
      </c>
      <c r="N485" s="7" t="s">
        <v>2755</v>
      </c>
      <c r="P485" s="5"/>
      <c r="Q485" s="5"/>
    </row>
    <row r="486" customFormat="false" ht="15" hidden="false" customHeight="true" outlineLevel="0" collapsed="false">
      <c r="A486" s="7" t="n">
        <v>485</v>
      </c>
      <c r="B486" s="7" t="s">
        <v>2230</v>
      </c>
      <c r="C486" s="7" t="s">
        <v>2463</v>
      </c>
      <c r="D486" s="7" t="s">
        <v>2756</v>
      </c>
      <c r="E486" s="7" t="s">
        <v>2757</v>
      </c>
      <c r="F486" s="7" t="s">
        <v>2758</v>
      </c>
      <c r="G486" s="7" t="s">
        <v>2759</v>
      </c>
      <c r="H486" s="7" t="s">
        <v>2760</v>
      </c>
      <c r="I486" s="7" t="s">
        <v>2761</v>
      </c>
      <c r="J486" s="7"/>
      <c r="K486" s="7"/>
      <c r="L486" s="7"/>
      <c r="M486" s="7" t="s">
        <v>2762</v>
      </c>
      <c r="N486" s="7" t="s">
        <v>2763</v>
      </c>
      <c r="P486" s="5"/>
      <c r="Q486" s="5"/>
    </row>
    <row r="487" customFormat="false" ht="15" hidden="false" customHeight="true" outlineLevel="0" collapsed="false">
      <c r="A487" s="7" t="n">
        <v>486</v>
      </c>
      <c r="B487" s="7" t="s">
        <v>2230</v>
      </c>
      <c r="C487" s="7" t="s">
        <v>2463</v>
      </c>
      <c r="D487" s="7" t="s">
        <v>2764</v>
      </c>
      <c r="E487" s="7" t="s">
        <v>2472</v>
      </c>
      <c r="F487" s="7" t="s">
        <v>2765</v>
      </c>
      <c r="G487" s="7" t="s">
        <v>2766</v>
      </c>
      <c r="H487" s="7" t="s">
        <v>2767</v>
      </c>
      <c r="I487" s="7" t="s">
        <v>2768</v>
      </c>
      <c r="J487" s="7"/>
      <c r="K487" s="7"/>
      <c r="L487" s="7"/>
      <c r="M487" s="7" t="s">
        <v>2769</v>
      </c>
      <c r="N487" s="7" t="s">
        <v>2770</v>
      </c>
      <c r="P487" s="5"/>
      <c r="Q487" s="5"/>
    </row>
    <row r="488" customFormat="false" ht="15" hidden="false" customHeight="true" outlineLevel="0" collapsed="false">
      <c r="A488" s="7" t="n">
        <v>487</v>
      </c>
      <c r="B488" s="7" t="s">
        <v>2230</v>
      </c>
      <c r="C488" s="7" t="s">
        <v>2463</v>
      </c>
      <c r="D488" s="7" t="s">
        <v>2771</v>
      </c>
      <c r="E488" s="7" t="s">
        <v>2772</v>
      </c>
      <c r="F488" s="7" t="s">
        <v>2773</v>
      </c>
      <c r="G488" s="7" t="s">
        <v>2774</v>
      </c>
      <c r="H488" s="7"/>
      <c r="I488" s="7" t="s">
        <v>1872</v>
      </c>
      <c r="J488" s="7"/>
      <c r="K488" s="7"/>
      <c r="L488" s="7"/>
      <c r="M488" s="7" t="s">
        <v>2775</v>
      </c>
      <c r="N488" s="7" t="s">
        <v>2776</v>
      </c>
      <c r="P488" s="5"/>
      <c r="Q488" s="5"/>
    </row>
    <row r="489" customFormat="false" ht="15" hidden="false" customHeight="true" outlineLevel="0" collapsed="false">
      <c r="A489" s="7" t="n">
        <v>488</v>
      </c>
      <c r="B489" s="7" t="s">
        <v>2230</v>
      </c>
      <c r="C489" s="7" t="s">
        <v>2463</v>
      </c>
      <c r="D489" s="7" t="s">
        <v>2777</v>
      </c>
      <c r="E489" s="7" t="s">
        <v>2778</v>
      </c>
      <c r="F489" s="7" t="s">
        <v>2048</v>
      </c>
      <c r="G489" s="7" t="s">
        <v>2779</v>
      </c>
      <c r="H489" s="7"/>
      <c r="I489" s="7" t="s">
        <v>1872</v>
      </c>
      <c r="J489" s="7"/>
      <c r="K489" s="7"/>
      <c r="L489" s="7"/>
      <c r="M489" s="7" t="s">
        <v>2780</v>
      </c>
      <c r="N489" s="7" t="s">
        <v>2781</v>
      </c>
      <c r="P489" s="5"/>
      <c r="Q489" s="5"/>
    </row>
    <row r="490" customFormat="false" ht="15" hidden="false" customHeight="true" outlineLevel="0" collapsed="false">
      <c r="A490" s="7" t="n">
        <v>489</v>
      </c>
      <c r="B490" s="7" t="s">
        <v>2230</v>
      </c>
      <c r="C490" s="7" t="s">
        <v>2463</v>
      </c>
      <c r="D490" s="7" t="s">
        <v>2431</v>
      </c>
      <c r="E490" s="7" t="s">
        <v>2478</v>
      </c>
      <c r="F490" s="7" t="s">
        <v>2782</v>
      </c>
      <c r="G490" s="7" t="s">
        <v>2480</v>
      </c>
      <c r="H490" s="7" t="s">
        <v>2783</v>
      </c>
      <c r="I490" s="7" t="s">
        <v>2784</v>
      </c>
      <c r="J490" s="7"/>
      <c r="K490" s="7"/>
      <c r="L490" s="7"/>
      <c r="M490" s="7" t="s">
        <v>2785</v>
      </c>
      <c r="N490" s="7" t="s">
        <v>2786</v>
      </c>
      <c r="P490" s="5"/>
      <c r="Q490" s="5"/>
    </row>
    <row r="491" customFormat="false" ht="15" hidden="false" customHeight="true" outlineLevel="0" collapsed="false">
      <c r="A491" s="7" t="n">
        <v>490</v>
      </c>
      <c r="B491" s="7" t="s">
        <v>2230</v>
      </c>
      <c r="C491" s="7" t="s">
        <v>2463</v>
      </c>
      <c r="D491" s="7" t="s">
        <v>2490</v>
      </c>
      <c r="E491" s="7" t="s">
        <v>2491</v>
      </c>
      <c r="F491" s="7" t="s">
        <v>2787</v>
      </c>
      <c r="G491" s="7" t="s">
        <v>2788</v>
      </c>
      <c r="H491" s="7" t="s">
        <v>2789</v>
      </c>
      <c r="I491" s="7" t="s">
        <v>2790</v>
      </c>
      <c r="J491" s="7"/>
      <c r="K491" s="7"/>
      <c r="L491" s="7"/>
      <c r="M491" s="7" t="s">
        <v>2791</v>
      </c>
      <c r="N491" s="7" t="s">
        <v>2792</v>
      </c>
      <c r="P491" s="5"/>
      <c r="Q491" s="5"/>
    </row>
    <row r="492" customFormat="false" ht="15" hidden="false" customHeight="true" outlineLevel="0" collapsed="false">
      <c r="A492" s="7" t="n">
        <v>491</v>
      </c>
      <c r="B492" s="7" t="s">
        <v>2230</v>
      </c>
      <c r="C492" s="7" t="s">
        <v>2463</v>
      </c>
      <c r="D492" s="7" t="s">
        <v>2367</v>
      </c>
      <c r="E492" s="7" t="s">
        <v>2491</v>
      </c>
      <c r="F492" s="7" t="s">
        <v>2793</v>
      </c>
      <c r="G492" s="7" t="s">
        <v>2794</v>
      </c>
      <c r="H492" s="7" t="s">
        <v>2795</v>
      </c>
      <c r="I492" s="7" t="s">
        <v>2796</v>
      </c>
      <c r="J492" s="7"/>
      <c r="K492" s="7"/>
      <c r="L492" s="7"/>
      <c r="M492" s="7" t="s">
        <v>2797</v>
      </c>
      <c r="N492" s="7" t="s">
        <v>2798</v>
      </c>
      <c r="P492" s="5"/>
      <c r="Q492" s="5"/>
    </row>
    <row r="493" customFormat="false" ht="15" hidden="false" customHeight="true" outlineLevel="0" collapsed="false">
      <c r="A493" s="7" t="n">
        <v>492</v>
      </c>
      <c r="B493" s="7" t="s">
        <v>2230</v>
      </c>
      <c r="C493" s="7" t="s">
        <v>2463</v>
      </c>
      <c r="D493" s="7" t="s">
        <v>2799</v>
      </c>
      <c r="E493" s="7" t="s">
        <v>2800</v>
      </c>
      <c r="F493" s="7" t="s">
        <v>2801</v>
      </c>
      <c r="G493" s="7" t="s">
        <v>2802</v>
      </c>
      <c r="H493" s="7"/>
      <c r="I493" s="7" t="s">
        <v>1872</v>
      </c>
      <c r="J493" s="7"/>
      <c r="K493" s="7"/>
      <c r="L493" s="7"/>
      <c r="M493" s="7" t="s">
        <v>2803</v>
      </c>
      <c r="N493" s="7" t="s">
        <v>2804</v>
      </c>
      <c r="P493" s="5"/>
      <c r="Q493" s="5"/>
    </row>
    <row r="494" customFormat="false" ht="15" hidden="false" customHeight="true" outlineLevel="0" collapsed="false">
      <c r="A494" s="7" t="n">
        <v>493</v>
      </c>
      <c r="B494" s="7" t="s">
        <v>2230</v>
      </c>
      <c r="C494" s="7" t="s">
        <v>2463</v>
      </c>
      <c r="D494" s="7" t="s">
        <v>2805</v>
      </c>
      <c r="E494" s="7" t="s">
        <v>2806</v>
      </c>
      <c r="F494" s="7" t="s">
        <v>2807</v>
      </c>
      <c r="G494" s="7" t="s">
        <v>2808</v>
      </c>
      <c r="H494" s="7"/>
      <c r="I494" s="7" t="s">
        <v>1872</v>
      </c>
      <c r="J494" s="7"/>
      <c r="K494" s="7"/>
      <c r="L494" s="7"/>
      <c r="M494" s="7" t="s">
        <v>2809</v>
      </c>
      <c r="N494" s="7" t="s">
        <v>2810</v>
      </c>
      <c r="P494" s="5"/>
      <c r="Q494" s="5"/>
    </row>
    <row r="495" customFormat="false" ht="15" hidden="false" customHeight="true" outlineLevel="0" collapsed="false">
      <c r="A495" s="7" t="n">
        <v>494</v>
      </c>
      <c r="B495" s="7" t="s">
        <v>2230</v>
      </c>
      <c r="C495" s="7" t="s">
        <v>2463</v>
      </c>
      <c r="D495" s="7" t="s">
        <v>2265</v>
      </c>
      <c r="E495" s="7" t="s">
        <v>2811</v>
      </c>
      <c r="F495" s="7" t="s">
        <v>2812</v>
      </c>
      <c r="G495" s="7" t="s">
        <v>2813</v>
      </c>
      <c r="H495" s="7"/>
      <c r="I495" s="7" t="s">
        <v>1872</v>
      </c>
      <c r="J495" s="7"/>
      <c r="K495" s="7"/>
      <c r="L495" s="7"/>
      <c r="M495" s="7" t="s">
        <v>2814</v>
      </c>
      <c r="N495" s="7" t="s">
        <v>2815</v>
      </c>
      <c r="P495" s="5"/>
      <c r="Q495" s="5"/>
    </row>
    <row r="496" customFormat="false" ht="15" hidden="false" customHeight="true" outlineLevel="0" collapsed="false">
      <c r="A496" s="7" t="n">
        <v>495</v>
      </c>
      <c r="B496" s="7" t="s">
        <v>2230</v>
      </c>
      <c r="C496" s="7" t="s">
        <v>2463</v>
      </c>
      <c r="D496" s="7" t="s">
        <v>2733</v>
      </c>
      <c r="E496" s="7" t="s">
        <v>2816</v>
      </c>
      <c r="F496" s="7" t="s">
        <v>2817</v>
      </c>
      <c r="G496" s="7" t="s">
        <v>2818</v>
      </c>
      <c r="H496" s="7"/>
      <c r="I496" s="7" t="s">
        <v>1872</v>
      </c>
      <c r="J496" s="7"/>
      <c r="K496" s="7"/>
      <c r="L496" s="7"/>
      <c r="M496" s="7" t="s">
        <v>2819</v>
      </c>
      <c r="N496" s="7" t="s">
        <v>2820</v>
      </c>
      <c r="P496" s="5"/>
      <c r="Q496" s="5"/>
    </row>
    <row r="497" customFormat="false" ht="15" hidden="false" customHeight="true" outlineLevel="0" collapsed="false">
      <c r="A497" s="7" t="n">
        <v>496</v>
      </c>
      <c r="B497" s="7" t="s">
        <v>2230</v>
      </c>
      <c r="C497" s="7" t="s">
        <v>2463</v>
      </c>
      <c r="D497" s="7" t="s">
        <v>2306</v>
      </c>
      <c r="E497" s="7" t="s">
        <v>2635</v>
      </c>
      <c r="F497" s="7" t="s">
        <v>2821</v>
      </c>
      <c r="G497" s="7" t="s">
        <v>2822</v>
      </c>
      <c r="H497" s="7"/>
      <c r="I497" s="7" t="s">
        <v>2823</v>
      </c>
      <c r="J497" s="7"/>
      <c r="K497" s="7"/>
      <c r="L497" s="7"/>
      <c r="M497" s="7" t="s">
        <v>2824</v>
      </c>
      <c r="N497" s="7" t="s">
        <v>2825</v>
      </c>
      <c r="P497" s="5"/>
      <c r="Q497" s="5"/>
    </row>
    <row r="498" customFormat="false" ht="15" hidden="false" customHeight="true" outlineLevel="0" collapsed="false">
      <c r="A498" s="7" t="n">
        <v>497</v>
      </c>
      <c r="B498" s="7" t="s">
        <v>2230</v>
      </c>
      <c r="C498" s="7" t="s">
        <v>2463</v>
      </c>
      <c r="D498" s="7" t="s">
        <v>2739</v>
      </c>
      <c r="E498" s="7" t="s">
        <v>2740</v>
      </c>
      <c r="F498" s="7" t="s">
        <v>2463</v>
      </c>
      <c r="G498" s="7" t="s">
        <v>2826</v>
      </c>
      <c r="H498" s="7"/>
      <c r="I498" s="7" t="s">
        <v>1872</v>
      </c>
      <c r="J498" s="7"/>
      <c r="K498" s="7"/>
      <c r="L498" s="7"/>
      <c r="M498" s="7" t="s">
        <v>2827</v>
      </c>
      <c r="N498" s="7" t="s">
        <v>2828</v>
      </c>
      <c r="P498" s="5"/>
      <c r="Q498" s="5"/>
    </row>
    <row r="499" customFormat="false" ht="15" hidden="false" customHeight="true" outlineLevel="0" collapsed="false">
      <c r="A499" s="7" t="n">
        <v>498</v>
      </c>
      <c r="B499" s="7" t="s">
        <v>2230</v>
      </c>
      <c r="C499" s="7" t="s">
        <v>2463</v>
      </c>
      <c r="D499" s="7" t="s">
        <v>2829</v>
      </c>
      <c r="E499" s="7" t="s">
        <v>2830</v>
      </c>
      <c r="F499" s="7" t="s">
        <v>2831</v>
      </c>
      <c r="G499" s="7" t="s">
        <v>2832</v>
      </c>
      <c r="H499" s="7"/>
      <c r="I499" s="7" t="s">
        <v>1872</v>
      </c>
      <c r="J499" s="7"/>
      <c r="K499" s="7"/>
      <c r="L499" s="7"/>
      <c r="M499" s="7" t="s">
        <v>2833</v>
      </c>
      <c r="N499" s="7" t="s">
        <v>2834</v>
      </c>
      <c r="P499" s="5"/>
      <c r="Q499" s="5"/>
    </row>
    <row r="500" customFormat="false" ht="15" hidden="false" customHeight="true" outlineLevel="0" collapsed="false">
      <c r="A500" s="7" t="n">
        <v>499</v>
      </c>
      <c r="B500" s="7" t="s">
        <v>2230</v>
      </c>
      <c r="C500" s="7" t="s">
        <v>2463</v>
      </c>
      <c r="D500" s="7" t="s">
        <v>2835</v>
      </c>
      <c r="E500" s="7" t="s">
        <v>2734</v>
      </c>
      <c r="F500" s="7" t="s">
        <v>2230</v>
      </c>
      <c r="G500" s="7" t="s">
        <v>2736</v>
      </c>
      <c r="H500" s="7"/>
      <c r="I500" s="7" t="s">
        <v>1872</v>
      </c>
      <c r="J500" s="7"/>
      <c r="K500" s="7"/>
      <c r="L500" s="7"/>
      <c r="M500" s="7" t="s">
        <v>2737</v>
      </c>
      <c r="N500" s="7" t="s">
        <v>2836</v>
      </c>
      <c r="P500" s="5"/>
      <c r="Q500" s="5"/>
    </row>
    <row r="501" customFormat="false" ht="15" hidden="false" customHeight="true" outlineLevel="0" collapsed="false">
      <c r="A501" s="7" t="n">
        <v>500</v>
      </c>
      <c r="B501" s="7" t="s">
        <v>2230</v>
      </c>
      <c r="C501" s="7" t="s">
        <v>2463</v>
      </c>
      <c r="D501" s="7" t="s">
        <v>2837</v>
      </c>
      <c r="E501" s="7" t="s">
        <v>2472</v>
      </c>
      <c r="F501" s="7" t="s">
        <v>2838</v>
      </c>
      <c r="G501" s="7" t="s">
        <v>2839</v>
      </c>
      <c r="H501" s="7" t="s">
        <v>2840</v>
      </c>
      <c r="I501" s="7" t="s">
        <v>2841</v>
      </c>
      <c r="J501" s="7"/>
      <c r="K501" s="7"/>
      <c r="L501" s="7"/>
      <c r="M501" s="7" t="s">
        <v>2476</v>
      </c>
      <c r="N501" s="7" t="s">
        <v>2842</v>
      </c>
      <c r="P501" s="5"/>
      <c r="Q501" s="5"/>
    </row>
    <row r="502" customFormat="false" ht="15" hidden="false" customHeight="true" outlineLevel="0" collapsed="false">
      <c r="A502" s="7" t="n">
        <v>501</v>
      </c>
      <c r="B502" s="7" t="s">
        <v>2230</v>
      </c>
      <c r="C502" s="7" t="s">
        <v>2463</v>
      </c>
      <c r="D502" s="7" t="s">
        <v>2843</v>
      </c>
      <c r="E502" s="7" t="s">
        <v>2491</v>
      </c>
      <c r="F502" s="7" t="s">
        <v>2844</v>
      </c>
      <c r="G502" s="7" t="s">
        <v>2845</v>
      </c>
      <c r="H502" s="7" t="s">
        <v>2846</v>
      </c>
      <c r="I502" s="7" t="s">
        <v>2796</v>
      </c>
      <c r="J502" s="7"/>
      <c r="K502" s="7"/>
      <c r="L502" s="7"/>
      <c r="M502" s="7" t="s">
        <v>2847</v>
      </c>
      <c r="N502" s="7" t="s">
        <v>2848</v>
      </c>
      <c r="P502" s="5"/>
      <c r="Q502" s="5"/>
    </row>
    <row r="503" customFormat="false" ht="15" hidden="false" customHeight="true" outlineLevel="0" collapsed="false">
      <c r="A503" s="7" t="n">
        <v>502</v>
      </c>
      <c r="B503" s="7" t="s">
        <v>2230</v>
      </c>
      <c r="C503" s="7" t="s">
        <v>2463</v>
      </c>
      <c r="D503" s="7" t="s">
        <v>2849</v>
      </c>
      <c r="E503" s="7" t="s">
        <v>2751</v>
      </c>
      <c r="F503" s="7" t="s">
        <v>2850</v>
      </c>
      <c r="G503" s="7" t="s">
        <v>2851</v>
      </c>
      <c r="H503" s="7"/>
      <c r="I503" s="7" t="s">
        <v>1872</v>
      </c>
      <c r="J503" s="7"/>
      <c r="K503" s="7"/>
      <c r="L503" s="7"/>
      <c r="M503" s="7" t="s">
        <v>2553</v>
      </c>
      <c r="N503" s="7" t="s">
        <v>2852</v>
      </c>
      <c r="P503" s="5"/>
      <c r="Q503" s="5"/>
    </row>
    <row r="504" customFormat="false" ht="15" hidden="false" customHeight="true" outlineLevel="0" collapsed="false">
      <c r="A504" s="7" t="n">
        <v>503</v>
      </c>
      <c r="B504" s="7" t="s">
        <v>2230</v>
      </c>
      <c r="C504" s="7" t="s">
        <v>2463</v>
      </c>
      <c r="D504" s="7" t="s">
        <v>2853</v>
      </c>
      <c r="E504" s="7" t="s">
        <v>2635</v>
      </c>
      <c r="F504" s="7" t="s">
        <v>2854</v>
      </c>
      <c r="G504" s="7" t="s">
        <v>2855</v>
      </c>
      <c r="H504" s="7"/>
      <c r="I504" s="7" t="s">
        <v>1872</v>
      </c>
      <c r="J504" s="7"/>
      <c r="K504" s="7"/>
      <c r="L504" s="7"/>
      <c r="M504" s="7" t="s">
        <v>2824</v>
      </c>
      <c r="N504" s="7" t="s">
        <v>2856</v>
      </c>
      <c r="P504" s="5"/>
      <c r="Q504" s="5"/>
    </row>
    <row r="505" customFormat="false" ht="15" hidden="false" customHeight="true" outlineLevel="0" collapsed="false">
      <c r="A505" s="7" t="n">
        <v>504</v>
      </c>
      <c r="B505" s="7" t="s">
        <v>2230</v>
      </c>
      <c r="C505" s="7" t="s">
        <v>2463</v>
      </c>
      <c r="D505" s="7" t="s">
        <v>2857</v>
      </c>
      <c r="E505" s="7" t="s">
        <v>2516</v>
      </c>
      <c r="F505" s="7" t="s">
        <v>2858</v>
      </c>
      <c r="G505" s="7" t="s">
        <v>2859</v>
      </c>
      <c r="H505" s="7" t="s">
        <v>2519</v>
      </c>
      <c r="I505" s="7" t="s">
        <v>2860</v>
      </c>
      <c r="J505" s="7"/>
      <c r="K505" s="7"/>
      <c r="L505" s="7"/>
      <c r="M505" s="7" t="s">
        <v>2861</v>
      </c>
      <c r="N505" s="7" t="s">
        <v>2862</v>
      </c>
      <c r="P505" s="5"/>
      <c r="Q505" s="5"/>
    </row>
    <row r="506" customFormat="false" ht="15" hidden="false" customHeight="true" outlineLevel="0" collapsed="false">
      <c r="A506" s="7" t="n">
        <v>505</v>
      </c>
      <c r="B506" s="7" t="s">
        <v>2230</v>
      </c>
      <c r="C506" s="7" t="s">
        <v>2463</v>
      </c>
      <c r="D506" s="7" t="s">
        <v>2863</v>
      </c>
      <c r="E506" s="7" t="s">
        <v>2772</v>
      </c>
      <c r="F506" s="7" t="s">
        <v>2864</v>
      </c>
      <c r="G506" s="7" t="s">
        <v>2865</v>
      </c>
      <c r="H506" s="7"/>
      <c r="I506" s="7" t="s">
        <v>1872</v>
      </c>
      <c r="J506" s="7"/>
      <c r="K506" s="7"/>
      <c r="L506" s="7"/>
      <c r="M506" s="7" t="s">
        <v>2866</v>
      </c>
      <c r="N506" s="7" t="s">
        <v>2867</v>
      </c>
      <c r="P506" s="5"/>
      <c r="Q506" s="5"/>
    </row>
    <row r="507" customFormat="false" ht="15" hidden="false" customHeight="true" outlineLevel="0" collapsed="false">
      <c r="A507" s="7" t="n">
        <v>506</v>
      </c>
      <c r="B507" s="7" t="s">
        <v>2230</v>
      </c>
      <c r="C507" s="7" t="s">
        <v>2463</v>
      </c>
      <c r="D507" s="7" t="s">
        <v>2431</v>
      </c>
      <c r="E507" s="7" t="s">
        <v>2491</v>
      </c>
      <c r="F507" s="7" t="s">
        <v>2868</v>
      </c>
      <c r="G507" s="7" t="s">
        <v>2869</v>
      </c>
      <c r="H507" s="7" t="s">
        <v>2870</v>
      </c>
      <c r="I507" s="7" t="s">
        <v>2796</v>
      </c>
      <c r="J507" s="7"/>
      <c r="K507" s="7"/>
      <c r="L507" s="7"/>
      <c r="M507" s="7" t="s">
        <v>2871</v>
      </c>
      <c r="N507" s="7" t="s">
        <v>2872</v>
      </c>
      <c r="P507" s="5"/>
      <c r="Q507" s="5"/>
    </row>
    <row r="508" customFormat="false" ht="15" hidden="false" customHeight="true" outlineLevel="0" collapsed="false">
      <c r="A508" s="7" t="n">
        <v>507</v>
      </c>
      <c r="B508" s="7" t="s">
        <v>2230</v>
      </c>
      <c r="C508" s="7" t="s">
        <v>2463</v>
      </c>
      <c r="D508" s="7" t="s">
        <v>2873</v>
      </c>
      <c r="E508" s="7" t="s">
        <v>2516</v>
      </c>
      <c r="F508" s="7" t="s">
        <v>2874</v>
      </c>
      <c r="G508" s="7" t="s">
        <v>2875</v>
      </c>
      <c r="H508" s="7" t="s">
        <v>2519</v>
      </c>
      <c r="I508" s="7" t="s">
        <v>2860</v>
      </c>
      <c r="J508" s="7"/>
      <c r="K508" s="7"/>
      <c r="L508" s="7"/>
      <c r="M508" s="7" t="s">
        <v>2520</v>
      </c>
      <c r="N508" s="7" t="s">
        <v>2876</v>
      </c>
      <c r="P508" s="5"/>
      <c r="Q508" s="5"/>
    </row>
    <row r="509" customFormat="false" ht="15" hidden="false" customHeight="true" outlineLevel="0" collapsed="false">
      <c r="A509" s="7" t="n">
        <v>508</v>
      </c>
      <c r="B509" s="7" t="s">
        <v>2230</v>
      </c>
      <c r="C509" s="7" t="s">
        <v>2463</v>
      </c>
      <c r="D509" s="7" t="s">
        <v>2877</v>
      </c>
      <c r="E509" s="7" t="s">
        <v>2878</v>
      </c>
      <c r="F509" s="7" t="s">
        <v>2879</v>
      </c>
      <c r="G509" s="7" t="s">
        <v>2880</v>
      </c>
      <c r="H509" s="7" t="s">
        <v>2760</v>
      </c>
      <c r="I509" s="7" t="s">
        <v>2761</v>
      </c>
      <c r="J509" s="7"/>
      <c r="K509" s="7"/>
      <c r="L509" s="7"/>
      <c r="M509" s="7" t="s">
        <v>2762</v>
      </c>
      <c r="N509" s="7" t="s">
        <v>2881</v>
      </c>
      <c r="P509" s="5"/>
      <c r="Q509" s="5"/>
    </row>
  </sheetData>
  <autoFilter ref="A1:O2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</cols>
  <sheetData>
    <row r="1" customFormat="false" ht="15" hidden="false" customHeight="true" outlineLevel="0" collapsed="false">
      <c r="A1" s="8" t="s">
        <v>8</v>
      </c>
      <c r="B1" s="8" t="s">
        <v>2882</v>
      </c>
    </row>
    <row r="2" customFormat="false" ht="15" hidden="false" customHeight="true" outlineLevel="0" collapsed="false">
      <c r="A2" s="1" t="s">
        <v>24</v>
      </c>
      <c r="B2" s="1" t="n">
        <f aca="false">COUNTIF(Tracker!I:I,"Sent")</f>
        <v>289</v>
      </c>
    </row>
    <row r="3" customFormat="false" ht="15" hidden="false" customHeight="true" outlineLevel="0" collapsed="false">
      <c r="A3" s="1" t="s">
        <v>344</v>
      </c>
      <c r="B3" s="1" t="n">
        <f aca="false">COUNTIF(Tracker!I:I,"On hold: existing contact")</f>
        <v>3</v>
      </c>
    </row>
    <row r="4" customFormat="false" ht="15" hidden="false" customHeight="true" outlineLevel="0" collapsed="false">
      <c r="A4" s="1" t="s">
        <v>2883</v>
      </c>
      <c r="B4" s="1" t="n">
        <f aca="false">COUNTA(Tracker!I:I)-1-B2-B3-B5</f>
        <v>216</v>
      </c>
    </row>
    <row r="5" customFormat="false" ht="15" hidden="false" customHeight="true" outlineLevel="0" collapsed="false">
      <c r="A5" s="1" t="s">
        <v>2884</v>
      </c>
      <c r="B5" s="1" t="n">
        <f aca="false">COUNTIF(Tracker!I:I,"Drafted")</f>
        <v>0</v>
      </c>
    </row>
    <row r="7" customFormat="false" ht="15" hidden="false" customHeight="true" outlineLevel="0" collapsed="false">
      <c r="A7" s="1" t="s">
        <v>15</v>
      </c>
      <c r="B7" s="1" t="s">
        <v>2882</v>
      </c>
    </row>
    <row r="8" customFormat="false" ht="15" hidden="false" customHeight="true" outlineLevel="0" collapsed="false">
      <c r="A8" s="1" t="s">
        <v>690</v>
      </c>
      <c r="B8" s="1" t="n">
        <f aca="false">COUNTIF(Tracker!P:P,"Positive reply")</f>
        <v>2</v>
      </c>
    </row>
    <row r="9" customFormat="false" ht="15" hidden="false" customHeight="true" outlineLevel="0" collapsed="false">
      <c r="A9" s="1" t="s">
        <v>922</v>
      </c>
      <c r="B9" s="1" t="n">
        <f aca="false">COUNTIF(Tracker!P:P,"Auto reply")</f>
        <v>6</v>
      </c>
    </row>
    <row r="10" customFormat="false" ht="15" hidden="false" customHeight="true" outlineLevel="0" collapsed="false">
      <c r="A10" s="1" t="s">
        <v>853</v>
      </c>
      <c r="B10" s="1" t="n">
        <f aca="false">COUNTIF(Tracker!P:P,"Bounced")</f>
        <v>18</v>
      </c>
    </row>
    <row r="11" customFormat="false" ht="15" hidden="false" customHeight="true" outlineLevel="0" collapsed="false">
      <c r="A11" s="1" t="s">
        <v>30</v>
      </c>
      <c r="B11" s="1" t="n">
        <f aca="false">COUNTIF(Tracker!P:P,"Awaiting")</f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2026-09-25T21:57:07Z</dcterms:created>
  <dc:creator>openpyxl</dc:creator>
  <dc:description/>
  <dc:language>en-US</dc:language>
  <cp:lastModifiedBy/>
  <dcterms:modified xsi:type="dcterms:W3CDTF">2026-09-26T06:50:40Z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