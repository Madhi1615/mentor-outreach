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aster Mail List" sheetId="2" state="visible" r:id="rId4"/>
    <sheet name="Engineering" sheetId="3" state="visible" r:id="rId5"/>
    <sheet name="B-Schools" sheetId="4" state="visible" r:id="rId6"/>
    <sheet name="Accelerators" sheetId="5" state="visible" r:id="rId7"/>
    <sheet name="Govt Startup" sheetId="6" state="visible" r:id="rId8"/>
    <sheet name="State Summary" sheetId="7" state="visible" r:id="rId9"/>
    <sheet name="Email Template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<sst xmlns="http://schemas.openxmlformats.org/spreadsheetml/2006/main" count="4482" uniqueCount="1306">
  <si>
    <t xml:space="preserve">India Startup &amp; University Advisor Outreach Database – Madhiyazhagan</t>
  </si>
  <si>
    <t xml:space="preserve">Engineering universities • B-Schools • Accelerators/Incubators • State/UT startup missions | Verified/curated 26 Sep 2026</t>
  </si>
  <si>
    <t xml:space="preserve">Database KPI</t>
  </si>
  <si>
    <t xml:space="preserve">Value</t>
  </si>
  <si>
    <t xml:space="preserve">Outreach Readiness</t>
  </si>
  <si>
    <t xml:space="preserve">Total targets</t>
  </si>
  <si>
    <t xml:space="preserve">Priority A</t>
  </si>
  <si>
    <t xml:space="preserve">States / UTs represented</t>
  </si>
  <si>
    <t xml:space="preserve">Named contact + email</t>
  </si>
  <si>
    <t xml:space="preserve">Engineering / Technology</t>
  </si>
  <si>
    <t xml:space="preserve">Functional / office email</t>
  </si>
  <si>
    <t xml:space="preserve">B-Schools</t>
  </si>
  <si>
    <t xml:space="preserve">No public email verified</t>
  </si>
  <si>
    <t xml:space="preserve">Accelerators / Incubators</t>
  </si>
  <si>
    <t xml:space="preserve">Emails sent</t>
  </si>
  <si>
    <t xml:space="preserve">Govt Startup Missions</t>
  </si>
  <si>
    <t xml:space="preserve">Rows with primary email</t>
  </si>
  <si>
    <t xml:space="preserve">Category</t>
  </si>
  <si>
    <t xml:space="preserve">Targets</t>
  </si>
  <si>
    <t xml:space="preserve">Engineering / Technology University</t>
  </si>
  <si>
    <t xml:space="preserve">B-School</t>
  </si>
  <si>
    <t xml:space="preserve">Accelerator / Incubator</t>
  </si>
  <si>
    <t xml:space="preserve">State / UT Government Startup Mission</t>
  </si>
  <si>
    <t xml:space="preserve">ID</t>
  </si>
  <si>
    <t xml:space="preserve">State / UT</t>
  </si>
  <si>
    <t xml:space="preserve">City</t>
  </si>
  <si>
    <t xml:space="preserve">Institution / Organisation</t>
  </si>
  <si>
    <t xml:space="preserve">Incubator / Program / Unit</t>
  </si>
  <si>
    <t xml:space="preserve">Contact Name</t>
  </si>
  <si>
    <t xml:space="preserve">Contact Role</t>
  </si>
  <si>
    <t xml:space="preserve">Primary Email</t>
  </si>
  <si>
    <t xml:space="preserve">CC / Alternate Email</t>
  </si>
  <si>
    <t xml:space="preserve">Phone</t>
  </si>
  <si>
    <t xml:space="preserve">Contact / Profile URL</t>
  </si>
  <si>
    <t xml:space="preserve">Official Source URL</t>
  </si>
  <si>
    <t xml:space="preserve">Priority</t>
  </si>
  <si>
    <t xml:space="preserve">Why Madhi Fits</t>
  </si>
  <si>
    <t xml:space="preserve">Suggested Subject</t>
  </si>
  <si>
    <t xml:space="preserve">Best Entry Route</t>
  </si>
  <si>
    <t xml:space="preserve">Contact Quality</t>
  </si>
  <si>
    <t xml:space="preserve">Verified On</t>
  </si>
  <si>
    <t xml:space="preserve">Email Status</t>
  </si>
  <si>
    <t xml:space="preserve">Last Contacted</t>
  </si>
  <si>
    <t xml:space="preserve">Notes</t>
  </si>
  <si>
    <t xml:space="preserve">Andhra Pradesh</t>
  </si>
  <si>
    <t xml:space="preserve">Visakhapatnam</t>
  </si>
  <si>
    <t xml:space="preserve">IIM Visakhapatnam</t>
  </si>
  <si>
    <t xml:space="preserve">FIELD – IIMV Foundation for Incubation Entrepreneurial Learning &amp; Development</t>
  </si>
  <si>
    <t xml:space="preserve">FIELD Team</t>
  </si>
  <si>
    <t xml:space="preserve">Incubation team</t>
  </si>
  <si>
    <t xml:space="preserve">incubationcenter@iimv.ac.in</t>
  </si>
  <si>
    <t xml:space="preserve">+91 75693 09208</t>
  </si>
  <si>
    <t xml:space="preserve">https://iimvfield.com/contact-us/</t>
  </si>
  <si>
    <t xml:space="preserve">A</t>
  </si>
  <si>
    <t xml:space="preserve">Product strategy, enterprise GTM, founder mentoring, India–Europe market access.</t>
  </si>
  <si>
    <t xml:space="preserve">External Advisor / Mentor – AI, Product &amp; India–Europe Market Access | FIELD</t>
  </si>
  <si>
    <t xml:space="preserve">Email FIELD and request External Advisor / Mentor Panel consideration.</t>
  </si>
  <si>
    <t xml:space="preserve">Already contacted</t>
  </si>
  <si>
    <t xml:space="preserve">Already emailed in earlier batch (same address)</t>
  </si>
  <si>
    <t xml:space="preserve">Sri City</t>
  </si>
  <si>
    <t xml:space="preserve">IIIT Sri City</t>
  </si>
  <si>
    <t xml:space="preserve">Gyan Circle Ventures</t>
  </si>
  <si>
    <t xml:space="preserve">Gyan Circle Ventures Team</t>
  </si>
  <si>
    <t xml:space="preserve">gcv.manager@iiits.in</t>
  </si>
  <si>
    <t xml:space="preserve">https://msh.meity.gov.in/tide/incubatorslist</t>
  </si>
  <si>
    <t xml:space="preserve">AI/cloud platforms, enterprise architecture, deep-tech commercialization, startup mentoring.</t>
  </si>
  <si>
    <t xml:space="preserve">External Advisor / Mentor – AI, Product &amp; India–Europe Market Access | Gyan Circle Ventures</t>
  </si>
  <si>
    <t xml:space="preserve">Email the incubation manager with a focused AI/platform + cross-border advisory proposition.</t>
  </si>
  <si>
    <t xml:space="preserve">Sent</t>
  </si>
  <si>
    <t xml:space="preserve">Andhra Pradesh Innovation Society</t>
  </si>
  <si>
    <t xml:space="preserve">AP Innovation &amp; Startup Mission</t>
  </si>
  <si>
    <t xml:space="preserve">AP Innovation Society Team</t>
  </si>
  <si>
    <t xml:space="preserve">State startup nodal agency</t>
  </si>
  <si>
    <t xml:space="preserve">innovationsociety@ap.gov.in</t>
  </si>
  <si>
    <t xml:space="preserve">+91 7396603335</t>
  </si>
  <si>
    <t xml:space="preserve">https://www.startupindia.gov.in/content/sih/en/state-startup-policies/Andhra-Pradesh-state-policy.html</t>
  </si>
  <si>
    <t xml:space="preserve">Mentor/advisor contribution to state startup programs, founder capacity building, AI adoption, international ecosystem connections.</t>
  </si>
  <si>
    <t xml:space="preserve">External Advisor / Mentor Support for AP Innovation &amp; Startup Mission</t>
  </si>
  <si>
    <t xml:space="preserve">Email the state startup / innovation team with a concise advisor profile and offer specific mentor contributions.</t>
  </si>
  <si>
    <t xml:space="preserve">Government / state ecosystem target</t>
  </si>
  <si>
    <t xml:space="preserve">Arunachal Pradesh</t>
  </si>
  <si>
    <t xml:space="preserve">Nirjuli</t>
  </si>
  <si>
    <t xml:space="preserve">NERIST</t>
  </si>
  <si>
    <t xml:space="preserve">Incubation &amp; Entrepreneurship Cell (IEC)</t>
  </si>
  <si>
    <t xml:space="preserve">Prof. Ningrinla Marchang</t>
  </si>
  <si>
    <t xml:space="preserve">Coordinator, Incubation &amp; Entrepreneurship Cell</t>
  </si>
  <si>
    <t xml:space="preserve">nm@nerist.ac.in</t>
  </si>
  <si>
    <t xml:space="preserve">https://nerist.ac.in/facilities/sric/incubation-entrepreneurship/</t>
  </si>
  <si>
    <t xml:space="preserve">B</t>
  </si>
  <si>
    <t xml:space="preserve">Entrepreneurship education, venture review, AI/product workshops, founder mentoring.</t>
  </si>
  <si>
    <t xml:space="preserve">External Advisor / Mentor – AI, Product &amp; India–Europe Market Access | Incubation &amp; Entrepreneurship Cell (IEC)</t>
  </si>
  <si>
    <t xml:space="preserve">Write directly to the Coordinator requesting empanelment as an external advisor/mentor.</t>
  </si>
  <si>
    <t xml:space="preserve">Itanagar</t>
  </si>
  <si>
    <t xml:space="preserve">Arunachal Pradesh Innovation and Investment Park (APIIP)</t>
  </si>
  <si>
    <t xml:space="preserve">State Startup Mission</t>
  </si>
  <si>
    <t xml:space="preserve">APIIP Startup Team</t>
  </si>
  <si>
    <t xml:space="preserve">arunachal.startups@gmail.com</t>
  </si>
  <si>
    <t xml:space="preserve">+91 94352 78774</t>
  </si>
  <si>
    <t xml:space="preserve">https://www.startupindia.gov.in/content/sih/en/state-startup-policies/Arunachal-Pradesh-state-policy.html</t>
  </si>
  <si>
    <t xml:space="preserve">External Advisor / Mentor Support for State Startup Mission</t>
  </si>
  <si>
    <t xml:space="preserve">Assam</t>
  </si>
  <si>
    <t xml:space="preserve">Tezpur</t>
  </si>
  <si>
    <t xml:space="preserve">Tezpur University</t>
  </si>
  <si>
    <t xml:space="preserve">Centre for Innovation Incubation and Entrepreneurship (CIIE)</t>
  </si>
  <si>
    <t xml:space="preserve">Dr. M. K. Hazarika</t>
  </si>
  <si>
    <t xml:space="preserve">Head, CIIE</t>
  </si>
  <si>
    <t xml:space="preserve">headciie@tezu.ernet.in</t>
  </si>
  <si>
    <t xml:space="preserve">mkhazarika@tezu.ernet.in</t>
  </si>
  <si>
    <t xml:space="preserve">https://www.tezu.ac.in/contact/edc.html</t>
  </si>
  <si>
    <t xml:space="preserve">AI/data, digital platforms, commercialization, entrepreneurship education, market linkage.</t>
  </si>
  <si>
    <t xml:space="preserve">External Advisor / Mentor – AI, Product &amp; India–Europe Market Access | Centre for Innovation Incubation and Entrepreneurship (CIIE)</t>
  </si>
  <si>
    <t xml:space="preserve">Write to the Head with a one-page advisor profile and proposed quarterly mentoring format.</t>
  </si>
  <si>
    <t xml:space="preserve">Guwahati</t>
  </si>
  <si>
    <t xml:space="preserve">IIT Guwahati</t>
  </si>
  <si>
    <t xml:space="preserve">Technology Incubation Centre (TIC)</t>
  </si>
  <si>
    <t xml:space="preserve">TIC Team</t>
  </si>
  <si>
    <t xml:space="preserve">Incubation office</t>
  </si>
  <si>
    <t xml:space="preserve">tic@iitg.ac.in</t>
  </si>
  <si>
    <t xml:space="preserve">+91 361 2583194 / 2583191</t>
  </si>
  <si>
    <t xml:space="preserve">https://iitgtic.com/index_contacts</t>
  </si>
  <si>
    <t xml:space="preserve">AI/cloud/platform architecture, product scaling, enterprise adoption, founder mentoring.</t>
  </si>
  <si>
    <t xml:space="preserve">External Advisor / Mentor – AI, Product &amp; India–Europe Market Access | Technology Incubation Centre (TIC)</t>
  </si>
  <si>
    <t xml:space="preserve">Email TIC with an advisor profile and areas: AI, cloud, enterprise SaaS, Europe market access.</t>
  </si>
  <si>
    <t xml:space="preserve">Startup Assam</t>
  </si>
  <si>
    <t xml:space="preserve">The Nest / State Startup Mission</t>
  </si>
  <si>
    <t xml:space="preserve">Startup Assam Team</t>
  </si>
  <si>
    <t xml:space="preserve">State startup mission</t>
  </si>
  <si>
    <t xml:space="preserve">startupassam2018@gmail.com</t>
  </si>
  <si>
    <t xml:space="preserve">coo.assamstartup@iimcip.org</t>
  </si>
  <si>
    <t xml:space="preserve">1800 345 3957</t>
  </si>
  <si>
    <t xml:space="preserve">https://www.startupindia.gov.in/content/sih/en/state-startup-policies/Assam-state-policy.html</t>
  </si>
  <si>
    <t xml:space="preserve">External Advisor / Mentor Support for The Nest / State Startup Mission</t>
  </si>
  <si>
    <t xml:space="preserve">Bihar</t>
  </si>
  <si>
    <t xml:space="preserve">Patna</t>
  </si>
  <si>
    <t xml:space="preserve">B-HUB</t>
  </si>
  <si>
    <t xml:space="preserve">CIMP Business Incubation &amp; Innovation Foundation Hub</t>
  </si>
  <si>
    <t xml:space="preserve">B-HUB Team</t>
  </si>
  <si>
    <t xml:space="preserve">Incubation / co-learning hub</t>
  </si>
  <si>
    <t xml:space="preserve">enquiry@bhub.org.in</t>
  </si>
  <si>
    <t xml:space="preserve">+91 9128712345</t>
  </si>
  <si>
    <t xml:space="preserve">https://www.bhub.org.in/contact-us/</t>
  </si>
  <si>
    <t xml:space="preserve">Startup mentoring, product/GTM, AI adoption, enterprise connects, international ecosystem access.</t>
  </si>
  <si>
    <t xml:space="preserve">External Advisor / Mentor – AI, Product &amp; India–Europe Startup Ecosystem | CIMP Business Incubation &amp; Innovation Foundation Hub</t>
  </si>
  <si>
    <t xml:space="preserve">Write directly to the named contact or functional incubation inbox; offer specific advisor/mentor contribution rather than asking for a job.</t>
  </si>
  <si>
    <t xml:space="preserve">Additional high-value target</t>
  </si>
  <si>
    <t xml:space="preserve">IIT Patna</t>
  </si>
  <si>
    <t xml:space="preserve">Incubation Centre IIT Patna</t>
  </si>
  <si>
    <t xml:space="preserve">Mr. Gopi Krishna Sakhinala</t>
  </si>
  <si>
    <t xml:space="preserve">Incubation contact</t>
  </si>
  <si>
    <t xml:space="preserve">iciitp@iitp.ac.in</t>
  </si>
  <si>
    <t xml:space="preserve">+91 79709 72747</t>
  </si>
  <si>
    <t xml:space="preserve">https://iciitp.com/index.php/contact/</t>
  </si>
  <si>
    <t xml:space="preserve">AI/cloud, platform engineering, enterprise transformation, commercialization, mentoring.</t>
  </si>
  <si>
    <t xml:space="preserve">External Advisor / Mentor – AI, Product &amp; India–Europe Market Access | Incubation Centre IIT Patna</t>
  </si>
  <si>
    <t xml:space="preserve">Email the centre and reference interest in external advisor / startup review panel roles.</t>
  </si>
  <si>
    <t xml:space="preserve">NIT Patna</t>
  </si>
  <si>
    <t xml:space="preserve">Incubation Center NIT Patna</t>
  </si>
  <si>
    <t xml:space="preserve">Incubation Center Team</t>
  </si>
  <si>
    <t xml:space="preserve">Incubation@nitp.ac.in</t>
  </si>
  <si>
    <t xml:space="preserve">https://incubationcenter.nitp.ac.in/</t>
  </si>
  <si>
    <t xml:space="preserve">AI/product mentoring, enterprise software, startup readiness, student entrepreneurship.</t>
  </si>
  <si>
    <t xml:space="preserve">External Advisor / Mentor – AI, Product &amp; India–Europe Market Access | Incubation Center NIT Patna</t>
  </si>
  <si>
    <t xml:space="preserve">Request an external mentor/advisor association and offer AI/product/GTM sessions for incubatees.</t>
  </si>
  <si>
    <t xml:space="preserve">Startup Bihar – Department of Industries</t>
  </si>
  <si>
    <t xml:space="preserve">Alok Ranjan Ghosh</t>
  </si>
  <si>
    <t xml:space="preserve">Director Industries</t>
  </si>
  <si>
    <t xml:space="preserve">startup-bihar@gov.in</t>
  </si>
  <si>
    <t xml:space="preserve">dir.ind-bih@nic.in</t>
  </si>
  <si>
    <t xml:space="preserve">1800 345 6214</t>
  </si>
  <si>
    <t xml:space="preserve">https://startup.bihar.gov.in/</t>
  </si>
  <si>
    <t xml:space="preserve">Chhattisgarh</t>
  </si>
  <si>
    <t xml:space="preserve">Naya Raipur</t>
  </si>
  <si>
    <t xml:space="preserve">IIIT Naya Raipur</t>
  </si>
  <si>
    <t xml:space="preserve">Foundation for Technology &amp; Business Incubation / Entrepreneurship</t>
  </si>
  <si>
    <t xml:space="preserve">Dr. Amit Agarwal</t>
  </si>
  <si>
    <t xml:space="preserve">amitag@iiitnr.edu.in</t>
  </si>
  <si>
    <t xml:space="preserve">+91 89541 67407</t>
  </si>
  <si>
    <t xml:space="preserve">https://www.invest.cg.gov.in/startup</t>
  </si>
  <si>
    <t xml:space="preserve">AI/cloud architecture, enterprise platforms, tech commercialization, startup coaching.</t>
  </si>
  <si>
    <t xml:space="preserve">External Advisor / Mentor – AI, Product &amp; India–Europe Market Access | Foundation for Technology &amp; Business Incubation / Entrepreneurship</t>
  </si>
  <si>
    <t xml:space="preserve">Write to Dr. Agarwal requesting consideration for external advisor/mentor pool.</t>
  </si>
  <si>
    <t xml:space="preserve">Bhilai</t>
  </si>
  <si>
    <t xml:space="preserve">IIT Bhilai</t>
  </si>
  <si>
    <t xml:space="preserve">IIT Bhilai Innovation &amp; Technology Foundation (IBITF)</t>
  </si>
  <si>
    <t xml:space="preserve">Prof. Souradyuti Paul</t>
  </si>
  <si>
    <t xml:space="preserve">Incubation / innovation contact</t>
  </si>
  <si>
    <t xml:space="preserve">tih@iitbhilai.ac.in</t>
  </si>
  <si>
    <t xml:space="preserve">+91 99710 02706</t>
  </si>
  <si>
    <t xml:space="preserve">AI, cloud, platform strategy, deep-tech commercialization, enterprise partnerships.</t>
  </si>
  <si>
    <t xml:space="preserve">External Advisor / Mentor – AI, Product &amp; India–Europe Market Access | IIT Bhilai Innovation &amp; Technology Foundation (IBITF)</t>
  </si>
  <si>
    <t xml:space="preserve">Contact the innovation foundation and propose external advisory support for AI/digital ventures.</t>
  </si>
  <si>
    <t xml:space="preserve">Raipur</t>
  </si>
  <si>
    <t xml:space="preserve">NIT Raipur</t>
  </si>
  <si>
    <t xml:space="preserve">NIT Raipur Foundation for Innovation &amp; Entrepreneurship (NITRRFIE)</t>
  </si>
  <si>
    <t xml:space="preserve">Medha Singh</t>
  </si>
  <si>
    <t xml:space="preserve">nitrrfie@nitrr.ac.in</t>
  </si>
  <si>
    <t xml:space="preserve">+91 94062 02248</t>
  </si>
  <si>
    <t xml:space="preserve">AI/product strategy, venture review, enterprise partnerships, entrepreneurship mentoring.</t>
  </si>
  <si>
    <t xml:space="preserve">External Advisor / Mentor – AI, Product &amp; India–Europe Market Access | NIT Raipur Foundation for Innovation &amp; Entrepreneurship (NITRRFIE)</t>
  </si>
  <si>
    <t xml:space="preserve">Email the named contact with advisor CV and proposed monthly founder office hours.</t>
  </si>
  <si>
    <t xml:space="preserve">Startup Chhattisgarh – Directorate of Industries</t>
  </si>
  <si>
    <t xml:space="preserve">Suman Dewangan</t>
  </si>
  <si>
    <t xml:space="preserve">Deputy Director – Startup</t>
  </si>
  <si>
    <t xml:space="preserve">startup.cg@gov.in</t>
  </si>
  <si>
    <t xml:space="preserve">invest-support@cg.gov.in</t>
  </si>
  <si>
    <t xml:space="preserve">0771-3101500</t>
  </si>
  <si>
    <t xml:space="preserve">Delhi</t>
  </si>
  <si>
    <t xml:space="preserve">New Delhi</t>
  </si>
  <si>
    <t xml:space="preserve">IIIT Delhi</t>
  </si>
  <si>
    <t xml:space="preserve">IIIT Delhi Innovation &amp; Incubation Center (IIITD-IC)</t>
  </si>
  <si>
    <t xml:space="preserve">IIITD Innovation &amp; Incubation Center</t>
  </si>
  <si>
    <t xml:space="preserve">info@iiitdic.in</t>
  </si>
  <si>
    <t xml:space="preserve">AI/software platforms, product architecture, SaaS scaling, enterprise GTM, mentoring.</t>
  </si>
  <si>
    <t xml:space="preserve">External Advisor / Mentor – AI, Product &amp; India–Europe Market Access | IIIT Delhi Innovation &amp; Incubation Center (IIITD-IC)</t>
  </si>
  <si>
    <t xml:space="preserve">Email with a proposal to join the mentor/advisor network for AI/software ventures.</t>
  </si>
  <si>
    <t xml:space="preserve">IIT Delhi</t>
  </si>
  <si>
    <t xml:space="preserve">FITT – Foundation for Innovation and Technology Transfer</t>
  </si>
  <si>
    <t xml:space="preserve">Dr. Ashutosh Pastor</t>
  </si>
  <si>
    <t xml:space="preserve">Vice President – Incubation</t>
  </si>
  <si>
    <t xml:space="preserve">AshutoshPastor@fitt-iitd.in</t>
  </si>
  <si>
    <t xml:space="preserve">https://fitt-iitd.in/web/fittteam</t>
  </si>
  <si>
    <t xml:space="preserve">Deep-tech commercialization, corporate innovation, AI/cloud strategy, international market access.</t>
  </si>
  <si>
    <t xml:space="preserve">External Advisor / Mentor – AI, Product &amp; India–Europe Market Access | FITT</t>
  </si>
  <si>
    <t xml:space="preserve">Write directly to VP Incubation; attach concise advisor bio and specify AI/cloud, enterprise GTM and India–Europe bridge.</t>
  </si>
  <si>
    <t xml:space="preserve">Skipped</t>
  </si>
  <si>
    <t xml:space="preserve">Already emailed FITT (mdfitt@gmail.com)</t>
  </si>
  <si>
    <t xml:space="preserve">Netaji Subhas University of Technology (NSUT)</t>
  </si>
  <si>
    <t xml:space="preserve">NSUT Incubation &amp; Innovation Foundation</t>
  </si>
  <si>
    <t xml:space="preserve">NSUT-IIF Team</t>
  </si>
  <si>
    <t xml:space="preserve">Incubation foundation</t>
  </si>
  <si>
    <t xml:space="preserve">nsutiif@nsut.ac.in</t>
  </si>
  <si>
    <t xml:space="preserve">connect.nsutiif@nsut.ac.in</t>
  </si>
  <si>
    <t xml:space="preserve">+91 9205475058</t>
  </si>
  <si>
    <t xml:space="preserve">https://nsutiif.in/contact</t>
  </si>
  <si>
    <t xml:space="preserve">AI/product strategy, enterprise technology, commercialization, corporate partnerships, India–Europe market access.</t>
  </si>
  <si>
    <t xml:space="preserve">External Advisor / Mentor – AI, Product &amp; India–Europe Startup Ecosystem | NSUT Incubation &amp; Innovation Foundation</t>
  </si>
  <si>
    <t xml:space="preserve">Goa</t>
  </si>
  <si>
    <t xml:space="preserve">Sanquelim</t>
  </si>
  <si>
    <t xml:space="preserve">Goa Institute of Management</t>
  </si>
  <si>
    <t xml:space="preserve">Atal Incubation Centre – GIM Foundation (AIC-GIM)</t>
  </si>
  <si>
    <t xml:space="preserve">AIC-GIM Team</t>
  </si>
  <si>
    <t xml:space="preserve">Startup / incubation team</t>
  </si>
  <si>
    <t xml:space="preserve">startups@aicgim.in</t>
  </si>
  <si>
    <t xml:space="preserve">+91 832 2366700</t>
  </si>
  <si>
    <t xml:space="preserve">https://aicgim.in/</t>
  </si>
  <si>
    <t xml:space="preserve">Startup strategy, enterprise GTM, AI adoption, founder mentoring, India–Europe linkage.</t>
  </si>
  <si>
    <t xml:space="preserve">External Advisor / Mentor – AI, Product &amp; India–Europe Market Access | Atal Incubation Centre</t>
  </si>
  <si>
    <t xml:space="preserve">Email the startup team requesting inclusion as an external advisor/mentor, especially for technology and scale-up cohorts.</t>
  </si>
  <si>
    <t xml:space="preserve">Zuarinagar</t>
  </si>
  <si>
    <t xml:space="preserve">BITS Pilani – Goa Campus</t>
  </si>
  <si>
    <t xml:space="preserve">CIIE / BGIIES</t>
  </si>
  <si>
    <t xml:space="preserve">Prof. Saroj Sundar Baral</t>
  </si>
  <si>
    <t xml:space="preserve">Faculty-in-Charge, CIIE</t>
  </si>
  <si>
    <t xml:space="preserve">ssbaral@goa.bits-pilani.ac.in</t>
  </si>
  <si>
    <t xml:space="preserve">+91 832 2580119</t>
  </si>
  <si>
    <t xml:space="preserve">https://www.bits-pilani.ac.in/goa/ciie/</t>
  </si>
  <si>
    <t xml:space="preserve">Technology commercialization, AI/product strategy, entrepreneurship education, mentor programs.</t>
  </si>
  <si>
    <t xml:space="preserve">External Advisor / Mentor – AI, Product &amp; India–Europe Market Access | CIIE / BGIIES</t>
  </si>
  <si>
    <t xml:space="preserve">Write to the Faculty-in-Charge proposing advisory sessions, venture reviews and India–Europe startup connects.</t>
  </si>
  <si>
    <t xml:space="preserve">Panaji</t>
  </si>
  <si>
    <t xml:space="preserve">Startup Goa – Department of Information Technology</t>
  </si>
  <si>
    <t xml:space="preserve">Startup Promotion Cell</t>
  </si>
  <si>
    <t xml:space="preserve">Startup Promotion Cell Team</t>
  </si>
  <si>
    <t xml:space="preserve">spc-dit.goa@gov.in</t>
  </si>
  <si>
    <t xml:space="preserve">1800-233-5060</t>
  </si>
  <si>
    <t xml:space="preserve">https://www.startupindia.gov.in/content/sih/en/state-startup-policies/Goa-state-policy.html</t>
  </si>
  <si>
    <t xml:space="preserve">External Advisor / Mentor Support for Startup Promotion Cell</t>
  </si>
  <si>
    <t xml:space="preserve">Gujarat</t>
  </si>
  <si>
    <t xml:space="preserve">Ahmedabad</t>
  </si>
  <si>
    <t xml:space="preserve">Gujarat University</t>
  </si>
  <si>
    <t xml:space="preserve">Gujarat University Startup &amp; Entrepreneurship Council (GUSEC)</t>
  </si>
  <si>
    <t xml:space="preserve">GUSEC Partnerships Team</t>
  </si>
  <si>
    <t xml:space="preserve">Partnerships / incubation</t>
  </si>
  <si>
    <t xml:space="preserve">partnerships@gusec.edu.in</t>
  </si>
  <si>
    <t xml:space="preserve">contact@gusec.edu.in</t>
  </si>
  <si>
    <t xml:space="preserve">https://gusec.edu.in/contact/</t>
  </si>
  <si>
    <t xml:space="preserve">Cross-border partnerships, AI/product strategy, founder mentoring, corporate/startup collaboration.</t>
  </si>
  <si>
    <t xml:space="preserve">External Advisor / Mentor – AI, Product &amp; India–Europe Market Access | Gujarat University Startup &amp; Entrepreneurship Council (GUSEC)</t>
  </si>
  <si>
    <t xml:space="preserve">Use the partnerships inbox rather than a generic startup application; propose a Germany–India ecosystem bridge plus AI/product mentoring.</t>
  </si>
  <si>
    <t xml:space="preserve">i-Hub Gujarat</t>
  </si>
  <si>
    <t xml:space="preserve">Government of Gujarat Innovation Hub</t>
  </si>
  <si>
    <t xml:space="preserve">Hiranmay Mahanta</t>
  </si>
  <si>
    <t xml:space="preserve">CEO</t>
  </si>
  <si>
    <t xml:space="preserve">ceo@ihubgujarat.in</t>
  </si>
  <si>
    <t xml:space="preserve">partnership@ihubgujarat.in</t>
  </si>
  <si>
    <t xml:space="preserve">+91 9825013774</t>
  </si>
  <si>
    <t xml:space="preserve">https://ihubgujarat.in/our-team</t>
  </si>
  <si>
    <t xml:space="preserve">External Advisor / Mentor – AI, Product &amp; India–Europe Startup Ecosystem | Government of Gujarat Innovation Hub</t>
  </si>
  <si>
    <t xml:space="preserve">IIM Ahmedabad</t>
  </si>
  <si>
    <t xml:space="preserve">IIMA Ventures (formerly CIIE.CO)</t>
  </si>
  <si>
    <t xml:space="preserve">IIMA Ventures Team</t>
  </si>
  <si>
    <t xml:space="preserve">Venture support team</t>
  </si>
  <si>
    <t xml:space="preserve">ciie@iima.ac.in</t>
  </si>
  <si>
    <t xml:space="preserve">+91 79 7152 4835</t>
  </si>
  <si>
    <t xml:space="preserve">https://www.indiascienceandtechnology.gov.in/organisationscentresofexcelle/centre-innovation-incubation-entrepreneurship-ciie</t>
  </si>
  <si>
    <t xml:space="preserve">Corporate innovation, enterprise GTM, AI/platform strategy, founder coaching, Europe access.</t>
  </si>
  <si>
    <t xml:space="preserve">External Advisor / Mentor – AI, Product &amp; India–Europe Market Access | IIMA Ventures (formerly CIIE.CO)</t>
  </si>
  <si>
    <t xml:space="preserve">Approach with a senior external-advisor proposition focused on enterprise tech, AI and cross-border market access.</t>
  </si>
  <si>
    <t xml:space="preserve">Already emailed IIMA Ventures</t>
  </si>
  <si>
    <t xml:space="preserve">Gandhinagar</t>
  </si>
  <si>
    <t xml:space="preserve">Pandit Deendayal Energy University (PDEU)</t>
  </si>
  <si>
    <t xml:space="preserve">PDEU Innovation &amp; Incubation Centre</t>
  </si>
  <si>
    <t xml:space="preserve">Abhinav Kapadia</t>
  </si>
  <si>
    <t xml:space="preserve">CEO / Director</t>
  </si>
  <si>
    <t xml:space="preserve">iic@pdpu.ac.in</t>
  </si>
  <si>
    <t xml:space="preserve">+91 79 23275143 / 44; +91 97265 00903</t>
  </si>
  <si>
    <t xml:space="preserve">https://iic.pdeu.ac.in/about/</t>
  </si>
  <si>
    <t xml:space="preserve">AI/digital transformation, enterprise innovation, startup scaling, corporate partnerships.</t>
  </si>
  <si>
    <t xml:space="preserve">External Advisor / Mentor – AI, Product &amp; India–Europe Market Access | PDEU Innovation &amp; Incubation Centre</t>
  </si>
  <si>
    <t xml:space="preserve">Address the CEO/Director via the centre email and request external advisor/mentor empanelment.</t>
  </si>
  <si>
    <t xml:space="preserve">Industries Commissionerate, Government of Gujarat</t>
  </si>
  <si>
    <t xml:space="preserve">Startup Gujarat Cell</t>
  </si>
  <si>
    <t xml:space="preserve">icstup@gujarat.gov.in</t>
  </si>
  <si>
    <t xml:space="preserve">startupgujaratcell@gmail.com</t>
  </si>
  <si>
    <t xml:space="preserve">079-23252588</t>
  </si>
  <si>
    <t xml:space="preserve">https://www.startupindia.gov.in/content/sih/en/state-startup-policies/Gujarat-state-policy.html</t>
  </si>
  <si>
    <t xml:space="preserve">External Advisor / Mentor Support for Startup Gujarat Cell</t>
  </si>
  <si>
    <t xml:space="preserve">Haryana</t>
  </si>
  <si>
    <t xml:space="preserve">Sonipat</t>
  </si>
  <si>
    <t xml:space="preserve">Ashoka University</t>
  </si>
  <si>
    <t xml:space="preserve">InfoEdge Centre for Entrepreneurship</t>
  </si>
  <si>
    <t xml:space="preserve">Priyank Narayan</t>
  </si>
  <si>
    <t xml:space="preserve">Founding Director</t>
  </si>
  <si>
    <t xml:space="preserve">entrepreneurship@ashoka.edu.in</t>
  </si>
  <si>
    <t xml:space="preserve">https://www.ashoka.edu.in/page/cfe/</t>
  </si>
  <si>
    <t xml:space="preserve">Entrepreneurship education, AI/product strategy, founder mentoring, India–Europe ecosystem access.</t>
  </si>
  <si>
    <t xml:space="preserve">External Advisor / Mentor – AI, Product &amp; India–Europe Market Access | InfoEdge Centre for Entrepreneurship</t>
  </si>
  <si>
    <t xml:space="preserve">Write to the centre referencing the Founding Director and offer mentoring, venture reviews and international ecosystem connections.</t>
  </si>
  <si>
    <t xml:space="preserve">Mahendragarh</t>
  </si>
  <si>
    <t xml:space="preserve">Central University of Haryana</t>
  </si>
  <si>
    <t xml:space="preserve">Centre for Innovation &amp; Incubation</t>
  </si>
  <si>
    <t xml:space="preserve">Centre office</t>
  </si>
  <si>
    <t xml:space="preserve">ssunita@cuh.ac.in</t>
  </si>
  <si>
    <t xml:space="preserve">+91 1285 260225</t>
  </si>
  <si>
    <t xml:space="preserve">https://www.cuh.ac.in/ciifcl.aspx</t>
  </si>
  <si>
    <t xml:space="preserve">Digital platforms, AI/data, business models, venture readiness, mentoring.</t>
  </si>
  <si>
    <t xml:space="preserve">External Advisor / Mentor – AI, Product &amp; India–Europe Market Access | Centre for Innovation &amp; Incubation</t>
  </si>
  <si>
    <t xml:space="preserve">Email the centre with an external mentor/advisor proposal and offer structured monthly startup clinics.</t>
  </si>
  <si>
    <t xml:space="preserve">Rohtak</t>
  </si>
  <si>
    <t xml:space="preserve">IIM Rohtak</t>
  </si>
  <si>
    <t xml:space="preserve">Entrepreneurship Cell / Bizdome</t>
  </si>
  <si>
    <t xml:space="preserve">Entrepreneurship Cell Team</t>
  </si>
  <si>
    <t xml:space="preserve">E-Cell / Bizdome</t>
  </si>
  <si>
    <t xml:space="preserve">ecell@iimrohtak.ac.in</t>
  </si>
  <si>
    <t xml:space="preserve">https://iimrohtak.ac.in/students-clubs-and-committees.php</t>
  </si>
  <si>
    <t xml:space="preserve">Founder mentoring, business model/GTM, enterprise readiness, AI adoption, India–Europe market access.</t>
  </si>
  <si>
    <t xml:space="preserve">External Advisor / Mentor – AI, Product &amp; India–Europe Startup Ecosystem | Entrepreneurship Cell / Bizdome</t>
  </si>
  <si>
    <t xml:space="preserve">Chandigarh</t>
  </si>
  <si>
    <t xml:space="preserve">Startup Haryana – Industries &amp; Commerce Department</t>
  </si>
  <si>
    <t xml:space="preserve">Startup Haryana Cell</t>
  </si>
  <si>
    <t xml:space="preserve">Rahul Bamel</t>
  </si>
  <si>
    <t xml:space="preserve">Deputy Director</t>
  </si>
  <si>
    <t xml:space="preserve">startupharyanacell@gmail.com</t>
  </si>
  <si>
    <t xml:space="preserve">+91 172-467-1337</t>
  </si>
  <si>
    <t xml:space="preserve">https://startupharyana.gov.in/front/whos-n-who</t>
  </si>
  <si>
    <t xml:space="preserve">External Advisor / Mentor Support for Startup Haryana Cell</t>
  </si>
  <si>
    <t xml:space="preserve">Himachal Pradesh</t>
  </si>
  <si>
    <t xml:space="preserve">Mandi</t>
  </si>
  <si>
    <t xml:space="preserve">IIT Mandi</t>
  </si>
  <si>
    <t xml:space="preserve">IIT Mandi Catalyst</t>
  </si>
  <si>
    <t xml:space="preserve">Anil Singh</t>
  </si>
  <si>
    <t xml:space="preserve">General Manager</t>
  </si>
  <si>
    <t xml:space="preserve">gm@iitmandicatalyst.in</t>
  </si>
  <si>
    <t xml:space="preserve">https://iitmandi.ac.in/directory</t>
  </si>
  <si>
    <t xml:space="preserve">AI/cloud/platform engineering, deep-tech commercialization, enterprise GTM, founder mentoring.</t>
  </si>
  <si>
    <t xml:space="preserve">External Advisor / Mentor – AI, Product &amp; India–Europe Market Access | IIT Mandi Catalyst</t>
  </si>
  <si>
    <t xml:space="preserve">Write to the GM; optionally copy Faculty In-Charge Prof. Dipankar Deb (dipankar@iitmandi.ac.in).</t>
  </si>
  <si>
    <t xml:space="preserve">Shimla</t>
  </si>
  <si>
    <t xml:space="preserve">Startup Himachal – Department of Industries</t>
  </si>
  <si>
    <t xml:space="preserve">Startup Himachal Cell</t>
  </si>
  <si>
    <t xml:space="preserve">Startup Himachal Cell Team</t>
  </si>
  <si>
    <t xml:space="preserve">startuphimachal@gmail.com</t>
  </si>
  <si>
    <t xml:space="preserve">0177-2659735</t>
  </si>
  <si>
    <t xml:space="preserve">https://www.startupindia.gov.in/content/sih/en/state-startup-policies/Himachal-Pradesh-state-policy.html</t>
  </si>
  <si>
    <t xml:space="preserve">External Advisor / Mentor Support for Startup Himachal Cell</t>
  </si>
  <si>
    <t xml:space="preserve">Jammu &amp; Kashmir</t>
  </si>
  <si>
    <t xml:space="preserve">Jammu</t>
  </si>
  <si>
    <t xml:space="preserve">University of Jammu</t>
  </si>
  <si>
    <t xml:space="preserve">Business Incubation &amp; Innovation Centre</t>
  </si>
  <si>
    <t xml:space="preserve">Dr. Harish Chander Dutt</t>
  </si>
  <si>
    <t xml:space="preserve">Coordinator</t>
  </si>
  <si>
    <t xml:space="preserve">helpdesk@jammuuniversity.ac.in</t>
  </si>
  <si>
    <t xml:space="preserve">https://jammuuniversity.ac.in/Isk/incubation-innovation-centre</t>
  </si>
  <si>
    <t xml:space="preserve">C</t>
  </si>
  <si>
    <t xml:space="preserve">Entrepreneurship teaching, startup readiness, digital business, mentor workshops.</t>
  </si>
  <si>
    <t xml:space="preserve">External Advisor / Mentor – AI, Product &amp; India–Europe Market Access | Business Incubation &amp; Innovation Centre</t>
  </si>
  <si>
    <t xml:space="preserve">Use the centre page and university helpdesk to request the Coordinator’s current direct contact before sending the advisor pitch.</t>
  </si>
  <si>
    <t xml:space="preserve">Only a general university helpdesk email</t>
  </si>
  <si>
    <t xml:space="preserve">Srinagar</t>
  </si>
  <si>
    <t xml:space="preserve">University of Kashmir</t>
  </si>
  <si>
    <t xml:space="preserve">Centre for Innovation, Incubation &amp; Entrepreneurship (CIIE)</t>
  </si>
  <si>
    <t xml:space="preserve">Dr. Bilal Ahmad Malik</t>
  </si>
  <si>
    <t xml:space="preserve">bilalmalik@kashmiruniversity.ac.in</t>
  </si>
  <si>
    <t xml:space="preserve">ciie@uok.edu.in</t>
  </si>
  <si>
    <t xml:space="preserve">+91 91495 11050</t>
  </si>
  <si>
    <t xml:space="preserve">https://ciie.uok.edu.in/Main/ContactUs.aspx</t>
  </si>
  <si>
    <t xml:space="preserve">Entrepreneurship mentoring, digital transformation, commercialization, market connections.</t>
  </si>
  <si>
    <t xml:space="preserve">External Advisor / Mentor – AI, Product &amp; India–Europe Market Access | Centre for Innovation, Incubation &amp; Entrepreneurship (CIIE)</t>
  </si>
  <si>
    <t xml:space="preserve">Email the Coordinator with specific offerings: venture review, AI/product strategy, Europe market access.</t>
  </si>
  <si>
    <t xml:space="preserve">IIM Jammu</t>
  </si>
  <si>
    <t xml:space="preserve">Foundation for Entrepreneurship Innovation &amp; Skill Development / CIED</t>
  </si>
  <si>
    <t xml:space="preserve">Kannav Padha</t>
  </si>
  <si>
    <t xml:space="preserve">Incubation Manager</t>
  </si>
  <si>
    <t xml:space="preserve">manager.itbi@iimj.ac.in</t>
  </si>
  <si>
    <t xml:space="preserve">https://www.iimj.ac.in/directory.php</t>
  </si>
  <si>
    <t xml:space="preserve">Product/GTM, corporate innovation, founder coaching, AI adoption, India–Europe networks.</t>
  </si>
  <si>
    <t xml:space="preserve">External Advisor / Mentor – AI, Product &amp; India–Europe Market Access | Foundation for Entrepreneurship Innovation &amp; Skill Development / CIED</t>
  </si>
  <si>
    <t xml:space="preserve">Write directly to the Incubation Manager; offer a 6–12 month advisor/mentor-in-residence engagement.</t>
  </si>
  <si>
    <t xml:space="preserve">Awantipora</t>
  </si>
  <si>
    <t xml:space="preserve">Islamic University of Science &amp; Technology (IUST)</t>
  </si>
  <si>
    <t xml:space="preserve">Centre for Innovation &amp; Entrepreneurship Development (CIED)</t>
  </si>
  <si>
    <t xml:space="preserve">CIED IUST Team</t>
  </si>
  <si>
    <t xml:space="preserve">cied@iust.ac.in</t>
  </si>
  <si>
    <t xml:space="preserve">+91 1933 453396</t>
  </si>
  <si>
    <t xml:space="preserve">https://www.ciediust.in/</t>
  </si>
  <si>
    <t xml:space="preserve">AI/digital ventures, product strategy, startup execution, entrepreneurship mentoring.</t>
  </si>
  <si>
    <t xml:space="preserve">External Advisor / Mentor – AI, Product &amp; India–Europe Market Access | Centre for Innovation &amp; Entrepreneurship Development (CIED)</t>
  </si>
  <si>
    <t xml:space="preserve">Request external advisor/mentor association, offering AI/product strategy and founder office hours.</t>
  </si>
  <si>
    <t xml:space="preserve">NIT Srinagar</t>
  </si>
  <si>
    <t xml:space="preserve">Innovation, Incubation &amp; Entrepreneurship Development Centre (IIEDC)</t>
  </si>
  <si>
    <t xml:space="preserve">Prof. Babar Ahmad</t>
  </si>
  <si>
    <t xml:space="preserve">Head, IIEDC</t>
  </si>
  <si>
    <t xml:space="preserve">babar@nitsri.ac.in</t>
  </si>
  <si>
    <t xml:space="preserve">iiedc@nitsri.ac.in</t>
  </si>
  <si>
    <t xml:space="preserve">+91 97977 57234</t>
  </si>
  <si>
    <t xml:space="preserve">https://nitsri.ac.in/Pages/CentreList.aspx</t>
  </si>
  <si>
    <t xml:space="preserve">Technology entrepreneurship, AI/product architecture, venture reviews, industry connections.</t>
  </si>
  <si>
    <t xml:space="preserve">External Advisor / Mentor – AI, Product &amp; India–Europe Market Access | Innovation, Incubation &amp; Entrepreneurship Development Centre (IIEDC)</t>
  </si>
  <si>
    <t xml:space="preserve">Write to the Head asking to join the centre’s external mentor/advisor network.</t>
  </si>
  <si>
    <t xml:space="preserve">Pampore</t>
  </si>
  <si>
    <t xml:space="preserve">Jammu &amp; Kashmir Entrepreneurship Development Institute (JKEDI)</t>
  </si>
  <si>
    <t xml:space="preserve">J&amp;K Startup Mission</t>
  </si>
  <si>
    <t xml:space="preserve">JKEDI Startup / Incubation Team</t>
  </si>
  <si>
    <t xml:space="preserve">State/UT startup nodal agency</t>
  </si>
  <si>
    <t xml:space="preserve">jkediciibm@gmail.com</t>
  </si>
  <si>
    <t xml:space="preserve">7006504038</t>
  </si>
  <si>
    <t xml:space="preserve">https://www.startupindia.gov.in/content/sih/en/state-startup-policies/Jammu-and-Kashmir-state-policy.html</t>
  </si>
  <si>
    <t xml:space="preserve">External Advisor / Mentor Support for J&amp;K Startup Mission</t>
  </si>
  <si>
    <t xml:space="preserve">Jharkhand</t>
  </si>
  <si>
    <t xml:space="preserve">Jamshedpur</t>
  </si>
  <si>
    <t xml:space="preserve">XLRI</t>
  </si>
  <si>
    <t xml:space="preserve">XCEED / XCITE Incubator</t>
  </si>
  <si>
    <t xml:space="preserve">Prof. Sunil Kumar Sarangi</t>
  </si>
  <si>
    <t xml:space="preserve">CEO, XCEED</t>
  </si>
  <si>
    <t xml:space="preserve">xceed@xlri.ac.in</t>
  </si>
  <si>
    <t xml:space="preserve">xcite.office@xlri.ac.in</t>
  </si>
  <si>
    <t xml:space="preserve">+91 657 6653333</t>
  </si>
  <si>
    <t xml:space="preserve">https://xceed.xlri.ac.in/contact-us</t>
  </si>
  <si>
    <t xml:space="preserve">External Advisor / Mentor – AI, Product &amp; India–Europe Startup Ecosystem | XCEED / XCITE Incubator</t>
  </si>
  <si>
    <t xml:space="preserve">Dhanbad</t>
  </si>
  <si>
    <t xml:space="preserve">IIT (ISM) Dhanbad</t>
  </si>
  <si>
    <t xml:space="preserve">CIIE IIT (ISM) Team</t>
  </si>
  <si>
    <t xml:space="preserve">ciie@iitism.ac.in</t>
  </si>
  <si>
    <t xml:space="preserve">+91 326 2235870</t>
  </si>
  <si>
    <t xml:space="preserve">https://ciie.iitism.ac.in/incubation.php</t>
  </si>
  <si>
    <t xml:space="preserve">AI/cloud platforms, enterprise digital transformation, commercialization, founder mentoring.</t>
  </si>
  <si>
    <t xml:space="preserve">Email CIIE with a tailored external advisor proposition for technology and enterprise ventures.</t>
  </si>
  <si>
    <t xml:space="preserve">Ranchi</t>
  </si>
  <si>
    <t xml:space="preserve">Startup Jharkhand – Department of IT &amp; e-Governance</t>
  </si>
  <si>
    <t xml:space="preserve">Startup Jharkhand Team</t>
  </si>
  <si>
    <t xml:space="preserve">it-secretary@jharkhand.gov.in</t>
  </si>
  <si>
    <t xml:space="preserve">0651-2400001</t>
  </si>
  <si>
    <t xml:space="preserve">https://www.startupindia.gov.in/content/sih/en/state-startup-policies/Jharkhand-state-policy.html</t>
  </si>
  <si>
    <t xml:space="preserve">Karnataka</t>
  </si>
  <si>
    <t xml:space="preserve">Bengaluru</t>
  </si>
  <si>
    <t xml:space="preserve">C-CAMP</t>
  </si>
  <si>
    <t xml:space="preserve">Centre for Cellular and Molecular Platforms</t>
  </si>
  <si>
    <t xml:space="preserve">Dr. Taslimarif Saiyed</t>
  </si>
  <si>
    <t xml:space="preserve">CEO &amp; Director</t>
  </si>
  <si>
    <t xml:space="preserve">taslim@ccamp.res.in</t>
  </si>
  <si>
    <t xml:space="preserve">ccamp@ccamp.res.in</t>
  </si>
  <si>
    <t xml:space="preserve">+91 80 67185100</t>
  </si>
  <si>
    <t xml:space="preserve">https://www.indiascienceandtechnology.gov.in/hi/node/124855</t>
  </si>
  <si>
    <t xml:space="preserve">External Advisor / Mentor – AI, Product &amp; India–Europe Startup Ecosystem | Centre for Cellular and Molecular Platforms</t>
  </si>
  <si>
    <t xml:space="preserve">CHRIST (Deemed to be University)</t>
  </si>
  <si>
    <t xml:space="preserve">Incubation and Entrepreneurship Support Cell (C-IESC)</t>
  </si>
  <si>
    <t xml:space="preserve">C-IESC Team</t>
  </si>
  <si>
    <t xml:space="preserve">incubation.cell@christuniversity.in</t>
  </si>
  <si>
    <t xml:space="preserve">https://christuniversity.in/center/C/C-IESC/apply-online</t>
  </si>
  <si>
    <t xml:space="preserve">Entrepreneurship education, startup readiness, AI/product strategy, mentor programs.</t>
  </si>
  <si>
    <t xml:space="preserve">External Advisor / Mentor – AI, Product &amp; India–Europe Market Access | Incubation and Entrepreneurship Support Cell (C-IESC)</t>
  </si>
  <si>
    <t xml:space="preserve">Email the cell offering mentor sessions, venture reviews and entrepreneurship/AI workshops.</t>
  </si>
  <si>
    <t xml:space="preserve">Dayananda Sagar Institutions</t>
  </si>
  <si>
    <t xml:space="preserve">DERBI Foundation</t>
  </si>
  <si>
    <t xml:space="preserve">DERBI Foundation Team</t>
  </si>
  <si>
    <t xml:space="preserve">adminmanager@derbifoundation.com</t>
  </si>
  <si>
    <t xml:space="preserve">AI/cloud platforms, enterprise technology, commercialization, startup execution.</t>
  </si>
  <si>
    <t xml:space="preserve">External Advisor / Mentor – AI, Product &amp; India–Europe Market Access | DERBI Foundation</t>
  </si>
  <si>
    <t xml:space="preserve">Email the admin/incubation manager with advisor profile and AI/enterprise-tech focus.</t>
  </si>
  <si>
    <t xml:space="preserve">Indian Institute of Science (IISc)</t>
  </si>
  <si>
    <t xml:space="preserve">Society for Innovation and Development (SID / FSID)</t>
  </si>
  <si>
    <t xml:space="preserve">SID / FSID Team</t>
  </si>
  <si>
    <t xml:space="preserve">Innovation &amp; incubation office</t>
  </si>
  <si>
    <t xml:space="preserve">office@sid.iisc.ernet.in</t>
  </si>
  <si>
    <t xml:space="preserve">https://www.indiascienceandtechnology.gov.in/technologyincubators/society-innovation-development-sid</t>
  </si>
  <si>
    <t xml:space="preserve">Deep-tech commercialization, AI/cloud platforms, enterprise partnerships, go-to-market.</t>
  </si>
  <si>
    <t xml:space="preserve">External Advisor / Mentor – AI, Product &amp; India–Europe Market Access | Society for Innovation and Development (SID / FSID)</t>
  </si>
  <si>
    <t xml:space="preserve">Email SID with an advisory proposition focused on commercialization and enterprise adoption, not scientific domain advice.</t>
  </si>
  <si>
    <t xml:space="preserve">JAIN (Deemed-to-be University)</t>
  </si>
  <si>
    <t xml:space="preserve">Chenraj Roychand Centre for Entrepreneurship (CUBEC)</t>
  </si>
  <si>
    <t xml:space="preserve">CUBEC Team</t>
  </si>
  <si>
    <t xml:space="preserve">Entrepreneurship centre</t>
  </si>
  <si>
    <t xml:space="preserve">int.cubec@jainuniversity.ac.in</t>
  </si>
  <si>
    <t xml:space="preserve">+91 80 43430410 ext. 202</t>
  </si>
  <si>
    <t xml:space="preserve">https://www.jainuniversity.ac.in/cubec/contact.php</t>
  </si>
  <si>
    <t xml:space="preserve">Entrepreneurship education, product/GTM, digital business, founder mentoring.</t>
  </si>
  <si>
    <t xml:space="preserve">External Advisor / Mentor – AI, Product &amp; India–Europe Market Access | Chenraj Roychand Centre for Entrepreneurship (CUBEC)</t>
  </si>
  <si>
    <t xml:space="preserve">Approach CUBEC for an external advisor/mentor role and propose founder office hours plus Europe market sessions.</t>
  </si>
  <si>
    <t xml:space="preserve">JAIN already emailed via JAIN Launchpad</t>
  </si>
  <si>
    <t xml:space="preserve">IIM Bangalore</t>
  </si>
  <si>
    <t xml:space="preserve">NSRCEL</t>
  </si>
  <si>
    <t xml:space="preserve">NSRCEL Team</t>
  </si>
  <si>
    <t xml:space="preserve">Mentor / partner route</t>
  </si>
  <si>
    <t xml:space="preserve">+91 80 2699 3701</t>
  </si>
  <si>
    <t xml:space="preserve">https://nsrcel.org/contact-us/</t>
  </si>
  <si>
    <t xml:space="preserve">Corporate innovation, product/GTM, startup governance, founder mentoring, India–Europe scale-up.</t>
  </si>
  <si>
    <t xml:space="preserve">External Advisor / Mentor – AI, Product &amp; India–Europe Market Access | NSRCEL</t>
  </si>
  <si>
    <t xml:space="preserve">Use NSRCEL’s Contact Us form and select “Mentor” (or “Partner”) rather than sending a generic startup query.</t>
  </si>
  <si>
    <t xml:space="preserve">No email in database</t>
  </si>
  <si>
    <t xml:space="preserve">IIIT Bangalore</t>
  </si>
  <si>
    <t xml:space="preserve">IIIT-B Innovation Centre</t>
  </si>
  <si>
    <t xml:space="preserve">Innovation Centre Team</t>
  </si>
  <si>
    <t xml:space="preserve">ceoinnovationcenter@iiitb.ac.in</t>
  </si>
  <si>
    <t xml:space="preserve">+91 80 41407777</t>
  </si>
  <si>
    <t xml:space="preserve">https://ic.iiitb.ac.in/</t>
  </si>
  <si>
    <t xml:space="preserve">AI/software platforms, cloud architecture, enterprise SaaS, product scaling, mentoring.</t>
  </si>
  <si>
    <t xml:space="preserve">External Advisor / Mentor – AI, Product &amp; India–Europe Market Access | IIIT-B Innovation Centre</t>
  </si>
  <si>
    <t xml:space="preserve">Write to the Innovation Centre CEO inbox requesting advisor/mentor panel consideration.</t>
  </si>
  <si>
    <t xml:space="preserve">Already emailed IIITB Innovation Centre</t>
  </si>
  <si>
    <t xml:space="preserve">Manipal</t>
  </si>
  <si>
    <t xml:space="preserve">Manipal Academy of Higher Education</t>
  </si>
  <si>
    <t xml:space="preserve">Manipal University Technology Business Incubator (MUTBI)</t>
  </si>
  <si>
    <t xml:space="preserve">MUTBI Team</t>
  </si>
  <si>
    <t xml:space="preserve">mutbi.mit@manipal.edu</t>
  </si>
  <si>
    <t xml:space="preserve">+91 820 2925051</t>
  </si>
  <si>
    <t xml:space="preserve">https://www.manipal.edu/mu/important-links/innovation-entrepreneruship/mutbi.html</t>
  </si>
  <si>
    <t xml:space="preserve">AI/cloud, product strategy, enterprise transformation, commercialization, founder coaching.</t>
  </si>
  <si>
    <t xml:space="preserve">External Advisor / Mentor – AI, Product &amp; India–Europe Market Access | Manipal University Technology Business Incubator (MUTBI)</t>
  </si>
  <si>
    <t xml:space="preserve">Email MUTBI seeking empanelment as an external technology/business advisor.</t>
  </si>
  <si>
    <t xml:space="preserve">Surathkal</t>
  </si>
  <si>
    <t xml:space="preserve">NITK Surathkal</t>
  </si>
  <si>
    <t xml:space="preserve">Science &amp; Technology Entrepreneurs’ Park (STEP)</t>
  </si>
  <si>
    <t xml:space="preserve">Dr. Subray R. Hegde</t>
  </si>
  <si>
    <t xml:space="preserve">Director In-Charge</t>
  </si>
  <si>
    <t xml:space="preserve">step@nitk.edu.in</t>
  </si>
  <si>
    <t xml:space="preserve">+91 87625 88011</t>
  </si>
  <si>
    <t xml:space="preserve">https://step.nitk.ac.in/about.html</t>
  </si>
  <si>
    <t xml:space="preserve">Tech commercialization, AI/product architecture, enterprise partnerships, entrepreneurship mentoring.</t>
  </si>
  <si>
    <t xml:space="preserve">External Advisor / Mentor – AI, Product &amp; India–Europe Market Access | Science &amp; Technology Entrepreneurs’ Park (STEP)</t>
  </si>
  <si>
    <t xml:space="preserve">Write to Director In-Charge proposing startup reviews, AI/product mentoring and corporate-market linkage.</t>
  </si>
  <si>
    <t xml:space="preserve">Karnataka Startup Cell – Department of Electronics, IT, BT &amp; S&amp;T</t>
  </si>
  <si>
    <t xml:space="preserve">Karnataka Startup Cell</t>
  </si>
  <si>
    <t xml:space="preserve">startupcell@karnataka.gov.in</t>
  </si>
  <si>
    <t xml:space="preserve">+91-80-22231007</t>
  </si>
  <si>
    <t xml:space="preserve">https://www.startupindia.gov.in/content/sih/en/state-startup-policies/Karnataka-state-policy.html</t>
  </si>
  <si>
    <t xml:space="preserve">Kerala</t>
  </si>
  <si>
    <t xml:space="preserve">Kozhikode / Kochi</t>
  </si>
  <si>
    <t xml:space="preserve">IIM Kozhikode</t>
  </si>
  <si>
    <t xml:space="preserve">IIMK LIVE</t>
  </si>
  <si>
    <t xml:space="preserve">IIMK LIVE Team</t>
  </si>
  <si>
    <t xml:space="preserve">enquiry@iimklive.org</t>
  </si>
  <si>
    <t xml:space="preserve">+91 495 2809669</t>
  </si>
  <si>
    <t xml:space="preserve">https://www.iimklive.org/</t>
  </si>
  <si>
    <t xml:space="preserve">Product/GTM, corporate innovation, founder mentoring, India–Europe market access.</t>
  </si>
  <si>
    <t xml:space="preserve">External Advisor / Mentor – AI, Product &amp; India–Europe Market Access | IIMK LIVE</t>
  </si>
  <si>
    <t xml:space="preserve">Email LIVE requesting inclusion as an external advisor/mentor for technology and scaling ventures.</t>
  </si>
  <si>
    <t xml:space="preserve">Kollam / Coimbatore / Bengaluru</t>
  </si>
  <si>
    <t xml:space="preserve">Amrita Vishwa Vidyapeetham</t>
  </si>
  <si>
    <t xml:space="preserve">Amrita Technology Business Incubator (Amrita TBI)</t>
  </si>
  <si>
    <t xml:space="preserve">Amrita TBI Team</t>
  </si>
  <si>
    <t xml:space="preserve">info@amritatbi.com</t>
  </si>
  <si>
    <t xml:space="preserve">+91 476 2805450; +91 70259 00047</t>
  </si>
  <si>
    <t xml:space="preserve">https://www.amritatbi.com/incubation-apply.html</t>
  </si>
  <si>
    <t xml:space="preserve">AI/cloud, technology commercialization, startup scaling, cross-border partnerships.</t>
  </si>
  <si>
    <t xml:space="preserve">External Advisor / Mentor – AI, Product &amp; India–Europe Market Access | Amrita Technology Business Incubator (Amrita TBI)</t>
  </si>
  <si>
    <t xml:space="preserve">Email with an advisor proposal covering AI/cloud, commercialization, founder mentoring and Europe market access.</t>
  </si>
  <si>
    <t xml:space="preserve">Kochi</t>
  </si>
  <si>
    <t xml:space="preserve">Cochin University of Science and Technology (CUSAT)</t>
  </si>
  <si>
    <t xml:space="preserve">CUSAT Technology Business Incubator</t>
  </si>
  <si>
    <t xml:space="preserve">Dr. Kailasnath M.</t>
  </si>
  <si>
    <t xml:space="preserve">Co-ordinator</t>
  </si>
  <si>
    <t xml:space="preserve">cusatechfoundation@cusat.ac.in</t>
  </si>
  <si>
    <t xml:space="preserve">tbi@cusat.ac.in</t>
  </si>
  <si>
    <t xml:space="preserve">+91 98950 25773 / 98950 14481</t>
  </si>
  <si>
    <t xml:space="preserve">https://tbi.cusat.ac.in/</t>
  </si>
  <si>
    <t xml:space="preserve">AI/product strategy, digital platforms, tech commercialization, enterprise partnerships.</t>
  </si>
  <si>
    <t xml:space="preserve">External Advisor / Mentor – AI, Product &amp; India–Europe Market Access | CUSAT Technology Business Incubator</t>
  </si>
  <si>
    <t xml:space="preserve">Write directly to the Co-ordinator with a one-page external advisor profile.</t>
  </si>
  <si>
    <t xml:space="preserve">Already emailed CUSAT TBI</t>
  </si>
  <si>
    <t xml:space="preserve">IIITM-K / Kerala Digital University ecosystem</t>
  </si>
  <si>
    <t xml:space="preserve">Maker Village</t>
  </si>
  <si>
    <t xml:space="preserve">Maker Village Team</t>
  </si>
  <si>
    <t xml:space="preserve">makervillage@iiitmk.ac.in</t>
  </si>
  <si>
    <t xml:space="preserve">+91 484 2976688</t>
  </si>
  <si>
    <t xml:space="preserve">https://makervillage.in/contactus.php</t>
  </si>
  <si>
    <t xml:space="preserve">AI/IoT platform strategy, enterprise architecture, commercialization, corporate partnerships.</t>
  </si>
  <si>
    <t xml:space="preserve">External Advisor / Mentor – AI, Product &amp; India–Europe Market Access | Maker Village</t>
  </si>
  <si>
    <t xml:space="preserve">Offer digital/AI/platform commercialization and enterprise partnership advice, complementing hardware expertise.</t>
  </si>
  <si>
    <t xml:space="preserve">Kozhikode</t>
  </si>
  <si>
    <t xml:space="preserve">NIT Calicut</t>
  </si>
  <si>
    <t xml:space="preserve">Technology Business Incubator (TBI)</t>
  </si>
  <si>
    <t xml:space="preserve">TBI NIT Calicut</t>
  </si>
  <si>
    <t xml:space="preserve">tbi@nitc.ac.in</t>
  </si>
  <si>
    <t xml:space="preserve">+91 495 2286147</t>
  </si>
  <si>
    <t xml:space="preserve">https://my.msme.gov.in/inc/HIList.aspx</t>
  </si>
  <si>
    <t xml:space="preserve">Technology entrepreneurship, AI/product architecture, commercialization, mentoring.</t>
  </si>
  <si>
    <t xml:space="preserve">External Advisor / Mentor – AI, Product &amp; India–Europe Market Access | Technology Business Incubator (TBI)</t>
  </si>
  <si>
    <t xml:space="preserve">Email the TBI and request the current CEO/Coordinator for an external advisor discussion.</t>
  </si>
  <si>
    <t xml:space="preserve">Thiruvananthapuram</t>
  </si>
  <si>
    <t xml:space="preserve">Kerala Startup Mission (KSUM)</t>
  </si>
  <si>
    <t xml:space="preserve">State Startup Mission / Accelerator</t>
  </si>
  <si>
    <t xml:space="preserve">Anoop Ambika</t>
  </si>
  <si>
    <t xml:space="preserve">Chief Executive Officer</t>
  </si>
  <si>
    <t xml:space="preserve">ceo@startupmission.in</t>
  </si>
  <si>
    <t xml:space="preserve">info@startupmission.in</t>
  </si>
  <si>
    <t xml:space="preserve">0471-2700270</t>
  </si>
  <si>
    <t xml:space="preserve">https://www.startupmission.kerala.gov.in/rti</t>
  </si>
  <si>
    <t xml:space="preserve">External Advisor / Mentor Support for State Startup Mission / Accelerator</t>
  </si>
  <si>
    <t xml:space="preserve">Madhya Pradesh</t>
  </si>
  <si>
    <t xml:space="preserve">Bhopal</t>
  </si>
  <si>
    <t xml:space="preserve">Rabindranath Tagore University</t>
  </si>
  <si>
    <t xml:space="preserve">Atal Incubation Centre – RNTU (AIC-RNTU)</t>
  </si>
  <si>
    <t xml:space="preserve">AIC-RNTU Team</t>
  </si>
  <si>
    <t xml:space="preserve">aic@rntu.ac.in</t>
  </si>
  <si>
    <t xml:space="preserve">+91 755 2700485</t>
  </si>
  <si>
    <t xml:space="preserve">https://www.aicrntu.com/career</t>
  </si>
  <si>
    <t xml:space="preserve">AI/product strategy, startup mentoring, entrepreneurship education, corporate &amp; Europe connections.</t>
  </si>
  <si>
    <t xml:space="preserve">Email AIC-RNTU; their careers page also invites profiles for future opportunities, useful for an advisor proposal.</t>
  </si>
  <si>
    <t xml:space="preserve">Indore</t>
  </si>
  <si>
    <t xml:space="preserve">IIM Indore</t>
  </si>
  <si>
    <t xml:space="preserve">Startups &amp; Small Business Facilitation</t>
  </si>
  <si>
    <t xml:space="preserve">Industry Interface Office</t>
  </si>
  <si>
    <t xml:space="preserve">IndustryInterface@iimidr.ac.in</t>
  </si>
  <si>
    <t xml:space="preserve">ecell@iimidr.ac.in</t>
  </si>
  <si>
    <t xml:space="preserve">https://iimidr.ac.in/about/industry-interface-office/startups-small-business-facilitation/</t>
  </si>
  <si>
    <t xml:space="preserve">External Advisor / Mentor – AI, Product &amp; India–Europe Startup Ecosystem | Startups &amp; Small Business Facilitation</t>
  </si>
  <si>
    <t xml:space="preserve">MP Startup Centre – Department of MSME</t>
  </si>
  <si>
    <t xml:space="preserve">MP Startup Centre Team</t>
  </si>
  <si>
    <t xml:space="preserve">startup-centre@mp.gov.in</t>
  </si>
  <si>
    <t xml:space="preserve">0755-3524017</t>
  </si>
  <si>
    <t xml:space="preserve">https://www.startupindia.gov.in/content/sih/en/state-startup-policies/Madhya-Pradesh-state-policy.html</t>
  </si>
  <si>
    <t xml:space="preserve">Maharashtra</t>
  </si>
  <si>
    <t xml:space="preserve">Nashik</t>
  </si>
  <si>
    <t xml:space="preserve">Sandip University</t>
  </si>
  <si>
    <t xml:space="preserve">Sandip Technology Business Incubator</t>
  </si>
  <si>
    <t xml:space="preserve">Sandip TBI Team</t>
  </si>
  <si>
    <t xml:space="preserve">manager@sandipincubator.org</t>
  </si>
  <si>
    <t xml:space="preserve">AI/product strategy, startup execution, enterprise technology, mentoring.</t>
  </si>
  <si>
    <t xml:space="preserve">External Advisor / Mentor – AI, Product &amp; India–Europe Market Access | Sandip Technology Business Incubator</t>
  </si>
  <si>
    <t xml:space="preserve">Email the manager with AI/product/GTM advisory focus and offer virtual founder clinics.</t>
  </si>
  <si>
    <t xml:space="preserve">Pune</t>
  </si>
  <si>
    <t xml:space="preserve">Venture Center</t>
  </si>
  <si>
    <t xml:space="preserve">NCL Innovation Park Incubator</t>
  </si>
  <si>
    <t xml:space="preserve">Soma Chattopadhyay</t>
  </si>
  <si>
    <t xml:space="preserve">Manager – Incubator</t>
  </si>
  <si>
    <t xml:space="preserve">managerincubator@venturecenter.co.in</t>
  </si>
  <si>
    <t xml:space="preserve">reception@venturecenter.co.in</t>
  </si>
  <si>
    <t xml:space="preserve">+91 9172232211</t>
  </si>
  <si>
    <t xml:space="preserve">https://nidhicoe.venturecenter.co.in/contact/</t>
  </si>
  <si>
    <t xml:space="preserve">External Advisor / Mentor – AI, Product &amp; India–Europe Startup Ecosystem | NCL Innovation Park Incubator</t>
  </si>
  <si>
    <t xml:space="preserve">Nagpur</t>
  </si>
  <si>
    <t xml:space="preserve">IIM Nagpur</t>
  </si>
  <si>
    <t xml:space="preserve">InFED – IIM Nagpur Foundation for Entrepreneurship Development</t>
  </si>
  <si>
    <t xml:space="preserve">InFED Team</t>
  </si>
  <si>
    <t xml:space="preserve">infed@iimnagpur.ac.in</t>
  </si>
  <si>
    <t xml:space="preserve">+91 712 2870368</t>
  </si>
  <si>
    <t xml:space="preserve">https://www.infed.in/</t>
  </si>
  <si>
    <t xml:space="preserve">Product/GTM, founder governance, enterprise sales, AI adoption, India–Europe connections.</t>
  </si>
  <si>
    <t xml:space="preserve">External Advisor / Mentor – AI, Product &amp; India–Europe Market Access | InFED</t>
  </si>
  <si>
    <t xml:space="preserve">Email InFED requesting empanelment as external advisor/mentor for startup cohorts.</t>
  </si>
  <si>
    <t xml:space="preserve">COEP Technological University</t>
  </si>
  <si>
    <t xml:space="preserve">Bhau Institute of Innovation, Entrepreneurship &amp; Leadership</t>
  </si>
  <si>
    <t xml:space="preserve">Bhau Institute Team</t>
  </si>
  <si>
    <t xml:space="preserve">manager.bhau@coeptech.ac.in</t>
  </si>
  <si>
    <t xml:space="preserve">+91 20 25507023</t>
  </si>
  <si>
    <t xml:space="preserve">https://bhau.org/contact/</t>
  </si>
  <si>
    <t xml:space="preserve">Product strategy, AI/software ventures, commercialization, entrepreneurship education.</t>
  </si>
  <si>
    <t xml:space="preserve">External Advisor / Mentor – AI, Product &amp; India–Europe Market Access | Bhau Institute of Innovation, Entrepreneurship &amp; Leadership</t>
  </si>
  <si>
    <t xml:space="preserve">Email the manager with a targeted advisor proposition and offer founder office hours / pitch reviews.</t>
  </si>
  <si>
    <t xml:space="preserve">Mumbai</t>
  </si>
  <si>
    <t xml:space="preserve">IIT Bombay</t>
  </si>
  <si>
    <t xml:space="preserve">Society for Innovation and Entrepreneurship (SINE)</t>
  </si>
  <si>
    <t xml:space="preserve">SINE Team</t>
  </si>
  <si>
    <t xml:space="preserve">Partnership / incubation team</t>
  </si>
  <si>
    <t xml:space="preserve">sine@sineiitb.org</t>
  </si>
  <si>
    <t xml:space="preserve">+91 22 2576 7016</t>
  </si>
  <si>
    <t xml:space="preserve">https://sineiitb.org/contact</t>
  </si>
  <si>
    <t xml:space="preserve">Deep-tech commercialization, AI/cloud strategy, enterprise GTM, corporate partnerships, mentoring.</t>
  </si>
  <si>
    <t xml:space="preserve">External Advisor / Mentor – AI, Product &amp; India–Europe Market Access | Society for Innovation and Entrepreneurship (SINE)</t>
  </si>
  <si>
    <t xml:space="preserve">Use SINE contact route with query category “For Partnership”; position as External Advisor/Mentor, not applicant.</t>
  </si>
  <si>
    <t xml:space="preserve">Savitribai Phule Pune University</t>
  </si>
  <si>
    <t xml:space="preserve">Science and Technology Park</t>
  </si>
  <si>
    <t xml:space="preserve">Science &amp; Technology Park Team</t>
  </si>
  <si>
    <t xml:space="preserve">Innovation / incubation office</t>
  </si>
  <si>
    <t xml:space="preserve">stp@scitechpark.org.in</t>
  </si>
  <si>
    <t xml:space="preserve">+91 20 25699206; +91 99600 00963</t>
  </si>
  <si>
    <t xml:space="preserve">https://scitechpark.org.in/contact-us/</t>
  </si>
  <si>
    <t xml:space="preserve">Tech commercialization, AI/cloud, corporate innovation, enterprise partnerships, market access.</t>
  </si>
  <si>
    <t xml:space="preserve">External Advisor / Mentor – AI, Product &amp; India–Europe Market Access | Science and Technology Park</t>
  </si>
  <si>
    <t xml:space="preserve">Approach as a technology commercialization and market-access advisor, with AI/cloud and corporate-network focus.</t>
  </si>
  <si>
    <t xml:space="preserve">Maharashtra State Innovation Society (MSInS)</t>
  </si>
  <si>
    <t xml:space="preserve">State Startup / Innovation Mission</t>
  </si>
  <si>
    <t xml:space="preserve">Dr. Shrikant Patil</t>
  </si>
  <si>
    <t xml:space="preserve">team@msins.in</t>
  </si>
  <si>
    <t xml:space="preserve">+91 22 3105 9000</t>
  </si>
  <si>
    <t xml:space="preserve">https://msins.in/Aboutus</t>
  </si>
  <si>
    <t xml:space="preserve">External Advisor / Mentor Support for State Startup / Innovation Mission</t>
  </si>
  <si>
    <t xml:space="preserve">Manipur</t>
  </si>
  <si>
    <t xml:space="preserve">Imphal</t>
  </si>
  <si>
    <t xml:space="preserve">Manipur University</t>
  </si>
  <si>
    <t xml:space="preserve">Incubation Centre / Start-ups &amp; Entrepreneurship Cell</t>
  </si>
  <si>
    <t xml:space="preserve">Incubation / Entrepreneurship Cell</t>
  </si>
  <si>
    <t xml:space="preserve">University contact</t>
  </si>
  <si>
    <t xml:space="preserve">info@manipuruniv.ac.in</t>
  </si>
  <si>
    <t xml:space="preserve">+91 385 2435125 / 2435143</t>
  </si>
  <si>
    <t xml:space="preserve">https://www.manipuruniv.ac.in/p/incubation-centre-start-ups-entrepreneurship-cell-2</t>
  </si>
  <si>
    <t xml:space="preserve">Entrepreneurship education, digital business, AI/product mentoring, startup readiness.</t>
  </si>
  <si>
    <t xml:space="preserve">External Advisor / Mentor – AI, Product &amp; India–Europe Market Access | Incubation Centre / Start-ups &amp; Entrepreneurship Cell</t>
  </si>
  <si>
    <t xml:space="preserve">Use the university contact to request the current incubation coordinator, then send advisor profile.</t>
  </si>
  <si>
    <t xml:space="preserve">Only a general university info email</t>
  </si>
  <si>
    <t xml:space="preserve">Startup Manipur – Planning Department</t>
  </si>
  <si>
    <t xml:space="preserve">Startup Manipur Team</t>
  </si>
  <si>
    <t xml:space="preserve">contact@startupmanipur.in</t>
  </si>
  <si>
    <t xml:space="preserve">1800 345 3831</t>
  </si>
  <si>
    <t xml:space="preserve">https://startupmanipur.in/contact/</t>
  </si>
  <si>
    <t xml:space="preserve">Meghalaya</t>
  </si>
  <si>
    <t xml:space="preserve">Shillong</t>
  </si>
  <si>
    <t xml:space="preserve">IIM Shillong</t>
  </si>
  <si>
    <t xml:space="preserve">Incubation &amp; Enterprise Support Centre / IIM Shillong Foundation for Incubation and Entrepreneurship</t>
  </si>
  <si>
    <t xml:space="preserve">Chair – Incubation</t>
  </si>
  <si>
    <t xml:space="preserve">Chair / incubation office</t>
  </si>
  <si>
    <t xml:space="preserve">chair.incubation@iimshillong.ac.in</t>
  </si>
  <si>
    <t xml:space="preserve">incubation@iimshillong.ac.in</t>
  </si>
  <si>
    <t xml:space="preserve">+91 364 2308098</t>
  </si>
  <si>
    <t xml:space="preserve">https://www.iimshillong.ac.in/contact/</t>
  </si>
  <si>
    <t xml:space="preserve">Product/GTM, entrepreneurship education, founder mentoring, AI adoption, India–Europe bridge.</t>
  </si>
  <si>
    <t xml:space="preserve">External Advisor / Mentor – AI, Product &amp; India–Europe Market Access | Incubation &amp; Enterprise Support Centre / IIM Shillong Foundation for Incubation and Entrepreneurship</t>
  </si>
  <si>
    <t xml:space="preserve">Write to the Chair and incubator office with an external advisor proposition for technology and scale-up startups.</t>
  </si>
  <si>
    <t xml:space="preserve">PRIME Meghalaya</t>
  </si>
  <si>
    <t xml:space="preserve">State Entrepreneurship / Startup Mission</t>
  </si>
  <si>
    <t xml:space="preserve">PRIME Meghalaya Team</t>
  </si>
  <si>
    <t xml:space="preserve">State entrepreneurship mission</t>
  </si>
  <si>
    <t xml:space="preserve">info@primemeghalaya.com</t>
  </si>
  <si>
    <t xml:space="preserve">streamlet.prime@gmail.com</t>
  </si>
  <si>
    <t xml:space="preserve">+91 9077826559</t>
  </si>
  <si>
    <t xml:space="preserve">https://primemeghalaya.com/admin-governance</t>
  </si>
  <si>
    <t xml:space="preserve">External Advisor / Mentor Support for State Entrepreneurship / Startup Mission</t>
  </si>
  <si>
    <t xml:space="preserve">Mizoram</t>
  </si>
  <si>
    <t xml:space="preserve">Aizawl</t>
  </si>
  <si>
    <t xml:space="preserve">Mizoram University</t>
  </si>
  <si>
    <t xml:space="preserve">BioNEST Incubator</t>
  </si>
  <si>
    <t xml:space="preserve">Dr. H. Lalhruaitluanga</t>
  </si>
  <si>
    <t xml:space="preserve">mahruaia123@gmail.com</t>
  </si>
  <si>
    <t xml:space="preserve">https://mzu.edu.in/bionest-incubator/</t>
  </si>
  <si>
    <t xml:space="preserve">Commercialization, digital platforms, operations, enterprise partnerships, market access.</t>
  </si>
  <si>
    <t xml:space="preserve">External Advisor / Mentor – AI, Product &amp; India–Europe Market Access | BioNEST Incubator</t>
  </si>
  <si>
    <t xml:space="preserve">Offer commercialization, digital/AI platform, operations and market-access advisory—not scientific/clinical advice.</t>
  </si>
  <si>
    <t xml:space="preserve">Entrepreneurship Development Centre, Government of Mizoram</t>
  </si>
  <si>
    <t xml:space="preserve">EDC Mizoram Team</t>
  </si>
  <si>
    <t xml:space="preserve">edcmizoram@gmail.com</t>
  </si>
  <si>
    <t xml:space="preserve">8132812349</t>
  </si>
  <si>
    <t xml:space="preserve">https://www.startupindia.gov.in/content/sih/en/state-startup-policies/Mizoram-state-policy.html</t>
  </si>
  <si>
    <t xml:space="preserve">Nagaland</t>
  </si>
  <si>
    <t xml:space="preserve">Kohima</t>
  </si>
  <si>
    <t xml:space="preserve">Nagaland University</t>
  </si>
  <si>
    <t xml:space="preserve">IIE-NEC Incubation Centre</t>
  </si>
  <si>
    <t xml:space="preserve">https://kohima.nagalanduniversity.ac.in/man_ic</t>
  </si>
  <si>
    <t xml:space="preserve">Entrepreneurship mentoring, digital business, AI/product workshops, market linkage.</t>
  </si>
  <si>
    <t xml:space="preserve">External Advisor / Mentor – AI, Product &amp; India–Europe Market Access | IIE-NEC Incubation Centre</t>
  </si>
  <si>
    <t xml:space="preserve">Use the centre page to identify/confirm the current coordinator, then send advisor profile through the university channel.</t>
  </si>
  <si>
    <t xml:space="preserve">Startup Nagaland – Directorate of Industries &amp; Commerce</t>
  </si>
  <si>
    <t xml:space="preserve">Keneirienuo K. Theunuo</t>
  </si>
  <si>
    <t xml:space="preserve">Startup Nagaland Team Leader / Assistant Director (Tech)</t>
  </si>
  <si>
    <t xml:space="preserve">start.nagaland@gmail.com</t>
  </si>
  <si>
    <t xml:space="preserve">keneiken80@gmail.com</t>
  </si>
  <si>
    <t xml:space="preserve">+91 9856071150</t>
  </si>
  <si>
    <t xml:space="preserve">https://www.startupnagaland.in/User-Contacts</t>
  </si>
  <si>
    <t xml:space="preserve">Odisha</t>
  </si>
  <si>
    <t xml:space="preserve">Sambalpur</t>
  </si>
  <si>
    <t xml:space="preserve">IIM Sambalpur</t>
  </si>
  <si>
    <t xml:space="preserve">Innovation &amp; Incubation Council / Entrepreneurship ecosystem</t>
  </si>
  <si>
    <t xml:space="preserve">IIC / Entrepreneurship Team</t>
  </si>
  <si>
    <t xml:space="preserve">Student / institute innovation contact</t>
  </si>
  <si>
    <t xml:space="preserve">iic.hrclub@iimsambalpur.ac.in</t>
  </si>
  <si>
    <t xml:space="preserve">https://iimsambalpur.ac.in/student-committees/</t>
  </si>
  <si>
    <t xml:space="preserve">Entrepreneurship education, founder mentoring, digital business, AI/product workshops.</t>
  </si>
  <si>
    <t xml:space="preserve">External Advisor / Mentor – AI, Product &amp; India–Europe Market Access | Innovation &amp; Incubation Council / Entrepreneurship ecosystem</t>
  </si>
  <si>
    <t xml:space="preserve">Pitch an external mentor/advisor role focused on entrepreneurship sessions and venture reviews; confirm formal incubator route first.</t>
  </si>
  <si>
    <t xml:space="preserve">Bhubaneswar</t>
  </si>
  <si>
    <t xml:space="preserve">IIT Bhubaneswar</t>
  </si>
  <si>
    <t xml:space="preserve">Research &amp; Entrepreneurship Park (REP)</t>
  </si>
  <si>
    <t xml:space="preserve">REP Team</t>
  </si>
  <si>
    <t xml:space="preserve">Research / incubation office</t>
  </si>
  <si>
    <t xml:space="preserve">office.rep@iitbbs.ac.in</t>
  </si>
  <si>
    <t xml:space="preserve">+91 74400 12530</t>
  </si>
  <si>
    <t xml:space="preserve">https://rep.iitbbs.ac.in/contact/</t>
  </si>
  <si>
    <t xml:space="preserve">Research commercialization, AI/cloud platforms, enterprise adoption, founder mentoring.</t>
  </si>
  <si>
    <t xml:space="preserve">External Advisor / Mentor – AI, Product &amp; India–Europe Market Access | Research &amp; Entrepreneurship Park (REP)</t>
  </si>
  <si>
    <t xml:space="preserve">Email REP to propose advisory support for research commercialization and technology startups.</t>
  </si>
  <si>
    <t xml:space="preserve">KIIT</t>
  </si>
  <si>
    <t xml:space="preserve">KIIT Technology Business Incubator (KIIT-TBI)</t>
  </si>
  <si>
    <t xml:space="preserve">Dr. Namrata Misra</t>
  </si>
  <si>
    <t xml:space="preserve">namrata@kiitincubator.in</t>
  </si>
  <si>
    <t xml:space="preserve">tbi@kiitincubator.in</t>
  </si>
  <si>
    <t xml:space="preserve">+91 82494 71927; +91 82490 28648</t>
  </si>
  <si>
    <t xml:space="preserve">https://kiitincubator.in/contact-us/</t>
  </si>
  <si>
    <t xml:space="preserve">Deep-tech commercialization, AI/product strategy, enterprise partnerships, startup mentoring.</t>
  </si>
  <si>
    <t xml:space="preserve">External Advisor / Mentor – AI, Product &amp; India–Europe Market Access | KIIT Technology Business Incubator (KIIT-TBI)</t>
  </si>
  <si>
    <t xml:space="preserve">Write to the named contact and TBI inbox requesting External Advisor / Mentor panel consideration.</t>
  </si>
  <si>
    <t xml:space="preserve">Rourkela</t>
  </si>
  <si>
    <t xml:space="preserve">NIT Rourkela</t>
  </si>
  <si>
    <t xml:space="preserve">Foundation for Technology &amp; Business Incubation (FTBI)</t>
  </si>
  <si>
    <t xml:space="preserve">Chiranjibi Samal</t>
  </si>
  <si>
    <t xml:space="preserve">CEO / FTBI leadership</t>
  </si>
  <si>
    <t xml:space="preserve">samalc-ftbi@nitrkl.ac.in</t>
  </si>
  <si>
    <t xml:space="preserve">ftbi@nitrkl.ac.in</t>
  </si>
  <si>
    <t xml:space="preserve">+91 661 2462230 / 2231</t>
  </si>
  <si>
    <t xml:space="preserve">https://www.ftbi-nitrkl.org/team-ftbi</t>
  </si>
  <si>
    <t xml:space="preserve">AI/cloud, tech commercialization, startup governance, enterprise partnerships, mentoring.</t>
  </si>
  <si>
    <t xml:space="preserve">External Advisor / Mentor – AI, Product &amp; India–Europe Market Access | Foundation for Technology &amp; Business Incubation (FTBI)</t>
  </si>
  <si>
    <t xml:space="preserve">Write directly to FTBI leadership proposing AI/product, enterprise GTM and startup governance mentoring.</t>
  </si>
  <si>
    <t xml:space="preserve">Startup Odisha</t>
  </si>
  <si>
    <t xml:space="preserve">O-Hub / State Startup Mission</t>
  </si>
  <si>
    <t xml:space="preserve">Rasmita Panda, IAS</t>
  </si>
  <si>
    <t xml:space="preserve">Chief Executive Officer, Startup Odisha</t>
  </si>
  <si>
    <t xml:space="preserve">startup.odisha@gov.in</t>
  </si>
  <si>
    <t xml:space="preserve">startupodisha.gov@startupodisha.org.in</t>
  </si>
  <si>
    <t xml:space="preserve">1800-345-7100</t>
  </si>
  <si>
    <t xml:space="preserve">https://ohub.odisha.gov.in/</t>
  </si>
  <si>
    <t xml:space="preserve">External Advisor / Mentor Support for O-Hub / State Startup Mission</t>
  </si>
  <si>
    <t xml:space="preserve">Puducherry</t>
  </si>
  <si>
    <t xml:space="preserve">AIC-PEC Foundation</t>
  </si>
  <si>
    <t xml:space="preserve">Atal Incubation Centre – PEC Foundation</t>
  </si>
  <si>
    <t xml:space="preserve">V. Vishnu Varadan</t>
  </si>
  <si>
    <t xml:space="preserve">ceo@aicpecf.org</t>
  </si>
  <si>
    <t xml:space="preserve">+91 8903467223</t>
  </si>
  <si>
    <t xml:space="preserve">https://www.aicpecf.org/</t>
  </si>
  <si>
    <t xml:space="preserve">External Advisor / Mentor – AI, Product &amp; India–Europe Startup Ecosystem | Atal Incubation Centre – PEC Foundation</t>
  </si>
  <si>
    <t xml:space="preserve">Pondicherry University</t>
  </si>
  <si>
    <t xml:space="preserve">ASPIRE – Livelihood Business Incubator (LBI)</t>
  </si>
  <si>
    <t xml:space="preserve">Dr. P. G. Arul</t>
  </si>
  <si>
    <t xml:space="preserve">pgarul.ibm@pondiuni.edu.in</t>
  </si>
  <si>
    <t xml:space="preserve">+91 413 2654733</t>
  </si>
  <si>
    <t xml:space="preserve">https://www.pondiuni.edu.in/department/pondicherry-university-aspire-livelihood-business-incubator-lbi/</t>
  </si>
  <si>
    <t xml:space="preserve">Digital business, AI enablement, entrepreneurship mentoring, business models, market linkage.</t>
  </si>
  <si>
    <t xml:space="preserve">External Advisor / Mentor – AI, Product &amp; India–Europe Market Access | ASPIRE</t>
  </si>
  <si>
    <t xml:space="preserve">Write directly to the Coordinator; offer business-model, digital enablement, entrepreneurship and market-access mentoring.</t>
  </si>
  <si>
    <t xml:space="preserve">Department of Industries &amp; Commerce, Puducherry</t>
  </si>
  <si>
    <t xml:space="preserve">Puducherry Startup Cell</t>
  </si>
  <si>
    <t xml:space="preserve">Puducherry Startup Cell Team</t>
  </si>
  <si>
    <t xml:space="preserve">UT startup nodal agency</t>
  </si>
  <si>
    <t xml:space="preserve">0413-2248168</t>
  </si>
  <si>
    <t xml:space="preserve">https://www.startupindia.gov.in/content/sih/en/startup-scheme/state-startup-policies/Puducherry-state-policy.html</t>
  </si>
  <si>
    <t xml:space="preserve">External Advisor / Mentor Support for Puducherry Startup Cell</t>
  </si>
  <si>
    <t xml:space="preserve">Punjab</t>
  </si>
  <si>
    <t xml:space="preserve">Rajpura</t>
  </si>
  <si>
    <t xml:space="preserve">Chitkara University</t>
  </si>
  <si>
    <t xml:space="preserve">Chitkara Innovation Incubator Foundation (CIIF)</t>
  </si>
  <si>
    <t xml:space="preserve">Dr. Archana Mantri</t>
  </si>
  <si>
    <t xml:space="preserve">ciif@chitkara.edu.in</t>
  </si>
  <si>
    <t xml:space="preserve">https://chitkara.edu.in/ciif/team.php</t>
  </si>
  <si>
    <t xml:space="preserve">AI/product strategy, corporate innovation, entrepreneurship education, India–Europe market linkage.</t>
  </si>
  <si>
    <t xml:space="preserve">External Advisor / Mentor – AI, Product &amp; India–Europe Market Access | Chitkara Innovation Incubator Foundation (CIIF)</t>
  </si>
  <si>
    <t xml:space="preserve">Address the CEO; CIIF has an advisory-board structure, making a formal advisor proposition especially relevant.</t>
  </si>
  <si>
    <t xml:space="preserve">Rupnagar</t>
  </si>
  <si>
    <t xml:space="preserve">IIT Ropar</t>
  </si>
  <si>
    <t xml:space="preserve">iHub – AWaDH</t>
  </si>
  <si>
    <t xml:space="preserve">AWaDH Partnerships Team</t>
  </si>
  <si>
    <t xml:space="preserve">Partnerships / startups</t>
  </si>
  <si>
    <t xml:space="preserve">partnerships@ihub-awadh.in</t>
  </si>
  <si>
    <t xml:space="preserve">startups@ihub-awadh.in; contact.awadh@iitrpr.ac.in</t>
  </si>
  <si>
    <t xml:space="preserve">+91 1881 232601</t>
  </si>
  <si>
    <t xml:space="preserve">https://ihub-awadh.in/contact-us/</t>
  </si>
  <si>
    <t xml:space="preserve">Deep-tech commercialization, AI/platforms, corporate partnerships, India–Europe ecosystem.</t>
  </si>
  <si>
    <t xml:space="preserve">External Advisor / Mentor – AI, Product &amp; India–Europe Market Access | iHub</t>
  </si>
  <si>
    <t xml:space="preserve">Lead with the partnerships email; propose cross-border enterprise connections plus AI/platform commercialization.</t>
  </si>
  <si>
    <t xml:space="preserve">Already emailed iHub AWaDH CEO</t>
  </si>
  <si>
    <t xml:space="preserve">Patiala</t>
  </si>
  <si>
    <t xml:space="preserve">Thapar Institute of Engineering &amp; Technology</t>
  </si>
  <si>
    <t xml:space="preserve">Entrepreneurship Development Cell (EDC)</t>
  </si>
  <si>
    <t xml:space="preserve">Dr. M.D. Singh</t>
  </si>
  <si>
    <t xml:space="preserve">President, EDC</t>
  </si>
  <si>
    <t xml:space="preserve">edc@thapar.edu</t>
  </si>
  <si>
    <t xml:space="preserve">mdsingh@thapar.edu</t>
  </si>
  <si>
    <t xml:space="preserve">https://www.thapar.edu/students/pages/edc</t>
  </si>
  <si>
    <t xml:space="preserve">External Advisor / Mentor – AI, Product &amp; India–Europe Startup Ecosystem | Entrepreneurship Development Cell (EDC)</t>
  </si>
  <si>
    <t xml:space="preserve">Startup Punjab – Department of Industries &amp; Commerce</t>
  </si>
  <si>
    <t xml:space="preserve">Startup Punjab Team</t>
  </si>
  <si>
    <t xml:space="preserve">startup-pb@punjabinfotech.in</t>
  </si>
  <si>
    <t xml:space="preserve">pb@punjabinfotech.in</t>
  </si>
  <si>
    <t xml:space="preserve">+91 9988666952</t>
  </si>
  <si>
    <t xml:space="preserve">https://www.startupindia.gov.in/content/sih/en/state-startup-policies/Punjab-state-policy.html</t>
  </si>
  <si>
    <t xml:space="preserve">Rajasthan</t>
  </si>
  <si>
    <t xml:space="preserve">Jaipur</t>
  </si>
  <si>
    <t xml:space="preserve">University of Rajasthan</t>
  </si>
  <si>
    <t xml:space="preserve">Entrepreneurship &amp; Career Hub (ECH)</t>
  </si>
  <si>
    <t xml:space="preserve">ECH Team</t>
  </si>
  <si>
    <t xml:space="preserve">Entrepreneurship hub</t>
  </si>
  <si>
    <t xml:space="preserve">ech.uor@gmail.com</t>
  </si>
  <si>
    <t xml:space="preserve">echuor2020@gmail.com</t>
  </si>
  <si>
    <t xml:space="preserve">+91 90246 86600</t>
  </si>
  <si>
    <t xml:space="preserve">https://www.uniraj.ac.in/ech/</t>
  </si>
  <si>
    <t xml:space="preserve">Entrepreneurship education, startup readiness, AI/product workshops, founder mentoring.</t>
  </si>
  <si>
    <t xml:space="preserve">External Advisor / Mentor – AI, Product &amp; India–Europe Market Access | Entrepreneurship &amp; Career Hub (ECH)</t>
  </si>
  <si>
    <t xml:space="preserve">Email ECH proposing external mentoring, venture reviews and employability-to-entrepreneurship workshops.</t>
  </si>
  <si>
    <t xml:space="preserve">Udaipur</t>
  </si>
  <si>
    <t xml:space="preserve">IIM Udaipur</t>
  </si>
  <si>
    <t xml:space="preserve">IIM Udaipur Incubation Centre</t>
  </si>
  <si>
    <t xml:space="preserve">IIMU Incubation Centre Team</t>
  </si>
  <si>
    <t xml:space="preserve">incubation@iimu.ac.in</t>
  </si>
  <si>
    <t xml:space="preserve">https://nidhieir.iimuic.org/wphash_ntf_bar/contact-us/</t>
  </si>
  <si>
    <t xml:space="preserve">Product/GTM, startup governance, enterprise sales, founder coaching, cross-border scale-up.</t>
  </si>
  <si>
    <t xml:space="preserve">External Advisor / Mentor – AI, Product &amp; India–Europe Market Access | IIM Udaipur Incubation Centre</t>
  </si>
  <si>
    <t xml:space="preserve">Request external advisor/mentor inclusion; position strongly around product, GTM, enterprise and Europe market access.</t>
  </si>
  <si>
    <t xml:space="preserve">Jodhpur</t>
  </si>
  <si>
    <t xml:space="preserve">IIT Jodhpur</t>
  </si>
  <si>
    <t xml:space="preserve">Technology Innovation &amp; Startup Centre (TISC)</t>
  </si>
  <si>
    <t xml:space="preserve">TISC Team</t>
  </si>
  <si>
    <t xml:space="preserve">ceo@tisc.iitj.ac.in</t>
  </si>
  <si>
    <t xml:space="preserve">+91 291 2802226</t>
  </si>
  <si>
    <t xml:space="preserve">https://www.iitj.ac.in/tisc/en/contact</t>
  </si>
  <si>
    <t xml:space="preserve">AI/cloud/platform strategy, tech commercialization, enterprise partnerships, startup mentoring.</t>
  </si>
  <si>
    <t xml:space="preserve">External Advisor / Mentor – AI, Product &amp; India–Europe Market Access | Technology Innovation &amp; Startup Centre (TISC)</t>
  </si>
  <si>
    <t xml:space="preserve">Write to the CEO inbox requesting advisor/mentor panel consideration and offer founder office hours.</t>
  </si>
  <si>
    <t xml:space="preserve">MNIT Jaipur</t>
  </si>
  <si>
    <t xml:space="preserve">MNIT Innovation &amp; Incubation Centre (MIIC)</t>
  </si>
  <si>
    <t xml:space="preserve">MIIC Team</t>
  </si>
  <si>
    <t xml:space="preserve">miic@mnit.ac.in</t>
  </si>
  <si>
    <t xml:space="preserve">+91 98281 99938</t>
  </si>
  <si>
    <t xml:space="preserve">https://miic.mnit.ac.in/resource/networking-and-collaboration</t>
  </si>
  <si>
    <t xml:space="preserve">Technology entrepreneurship, AI/product strategy, commercialization, corporate links.</t>
  </si>
  <si>
    <t xml:space="preserve">External Advisor / Mentor – AI, Product &amp; India–Europe Market Access | MNIT Innovation &amp; Incubation Centre (MIIC)</t>
  </si>
  <si>
    <t xml:space="preserve">Email MIIC with a direct external-advisor proposal focused on AI/product strategy and market access.</t>
  </si>
  <si>
    <t xml:space="preserve">iStart Rajasthan – DoIT&amp;C</t>
  </si>
  <si>
    <t xml:space="preserve">Tapan Kumar</t>
  </si>
  <si>
    <t xml:space="preserve">Technical Director / Nodal Officer</t>
  </si>
  <si>
    <t xml:space="preserve">startups.doit@rajasthan.gov.in</t>
  </si>
  <si>
    <t xml:space="preserve">helpdesk.istart@rajasthan.gov.in</t>
  </si>
  <si>
    <t xml:space="preserve">0141-2921337</t>
  </si>
  <si>
    <t xml:space="preserve">https://istart.rajasthan.gov.in/pages/contact</t>
  </si>
  <si>
    <t xml:space="preserve">Sikkim</t>
  </si>
  <si>
    <t xml:space="preserve">Majitar</t>
  </si>
  <si>
    <t xml:space="preserve">Sikkim Manipal Institute of Technology</t>
  </si>
  <si>
    <t xml:space="preserve">AIC-SMUTBI</t>
  </si>
  <si>
    <t xml:space="preserve">Dr. Tej Chingtham</t>
  </si>
  <si>
    <t xml:space="preserve">ceo@smutbi.com</t>
  </si>
  <si>
    <t xml:space="preserve">contact@smutbi.com</t>
  </si>
  <si>
    <t xml:space="preserve">+91 359 2246622</t>
  </si>
  <si>
    <t xml:space="preserve">https://www.smutbi.com/contact-us/</t>
  </si>
  <si>
    <t xml:space="preserve">AI/product, technology commercialization, startup scaling, enterprise &amp; Europe connections.</t>
  </si>
  <si>
    <t xml:space="preserve">External Advisor / Mentor – AI, Product &amp; India–Europe Market Access | AIC-SMUTBI</t>
  </si>
  <si>
    <t xml:space="preserve">Write to the CEO and copy general contact; offer external advisor support for technology commercialization and scaling.</t>
  </si>
  <si>
    <t xml:space="preserve">Gangtok</t>
  </si>
  <si>
    <t xml:space="preserve">Commerce &amp; Industries Department, Government of Sikkim</t>
  </si>
  <si>
    <t xml:space="preserve">Chief Minister's Startup Scheme</t>
  </si>
  <si>
    <t xml:space="preserve">Sikkim Startup Team</t>
  </si>
  <si>
    <t xml:space="preserve">sikkimindustries@gmail.com</t>
  </si>
  <si>
    <t xml:space="preserve">03592-206174</t>
  </si>
  <si>
    <t xml:space="preserve">https://www.startupindia.gov.in/content/sih/en/state-startup-policies/Sikkim-state-policy.html</t>
  </si>
  <si>
    <t xml:space="preserve">External Advisor / Mentor Support for Chief Minister's Startup Scheme</t>
  </si>
  <si>
    <t xml:space="preserve">Tamil Nadu</t>
  </si>
  <si>
    <t xml:space="preserve">Chennai</t>
  </si>
  <si>
    <t xml:space="preserve">Anna University</t>
  </si>
  <si>
    <t xml:space="preserve">Anna Incubator</t>
  </si>
  <si>
    <t xml:space="preserve">Anna Incubator Team</t>
  </si>
  <si>
    <t xml:space="preserve">contact@annaincubator.org</t>
  </si>
  <si>
    <t xml:space="preserve">+91 44 22359227</t>
  </si>
  <si>
    <t xml:space="preserve">https://annaincubator.org/contact/</t>
  </si>
  <si>
    <t xml:space="preserve">AI/cloud, product strategy, commercialization, entrepreneurship education, Europe connections.</t>
  </si>
  <si>
    <t xml:space="preserve">External Advisor / Mentor – AI, Product &amp; India–Europe Market Access | Anna Incubator</t>
  </si>
  <si>
    <t xml:space="preserve">Email the incubator requesting an external advisor/mentor role and offer AI/product + global market sessions.</t>
  </si>
  <si>
    <t xml:space="preserve">Anna University already emailed twice (TBI, CED)</t>
  </si>
  <si>
    <t xml:space="preserve">Coimbatore</t>
  </si>
  <si>
    <t xml:space="preserve">Forge Innovation &amp; Ventures</t>
  </si>
  <si>
    <t xml:space="preserve">Forge Accelerator / Industrial Innovation</t>
  </si>
  <si>
    <t xml:space="preserve">Forge Team</t>
  </si>
  <si>
    <t xml:space="preserve">info@forge-iv.co</t>
  </si>
  <si>
    <t xml:space="preserve">+91 9443354312</t>
  </si>
  <si>
    <t xml:space="preserve">https://www.forge-iv.co/contact-us/</t>
  </si>
  <si>
    <t xml:space="preserve">External Advisor / Mentor – AI, Product &amp; India–Europe Startup Ecosystem | Forge Accelerator / Industrial Innovation</t>
  </si>
  <si>
    <t xml:space="preserve">Villgro</t>
  </si>
  <si>
    <t xml:space="preserve">Social Enterprise Incubator</t>
  </si>
  <si>
    <t xml:space="preserve">Villgro Team</t>
  </si>
  <si>
    <t xml:space="preserve">info@villgro.org</t>
  </si>
  <si>
    <t xml:space="preserve">+91 44 40057410</t>
  </si>
  <si>
    <t xml:space="preserve">https://villgro.org/contact-us/</t>
  </si>
  <si>
    <t xml:space="preserve">External Advisor / Mentor – AI, Product &amp; India–Europe Startup Ecosystem | Social Enterprise Incubator</t>
  </si>
  <si>
    <t xml:space="preserve">Tiruchirappalli</t>
  </si>
  <si>
    <t xml:space="preserve">IIM Tiruchirappalli</t>
  </si>
  <si>
    <t xml:space="preserve">Strategy &amp; Entrepreneurship</t>
  </si>
  <si>
    <t xml:space="preserve">Chair, Strategy and Entrepreneurship</t>
  </si>
  <si>
    <t xml:space="preserve">Academic / entrepreneurship chair</t>
  </si>
  <si>
    <t xml:space="preserve">strategychair@iimtrichy.ac.in</t>
  </si>
  <si>
    <t xml:space="preserve">+91-431-2505077</t>
  </si>
  <si>
    <t xml:space="preserve">https://www.iimtrichy.ac.in/en/contact-us</t>
  </si>
  <si>
    <t xml:space="preserve">External Advisor / Mentor – AI, Product &amp; India–Europe Startup Ecosystem | Strategy &amp; Entrepreneurship</t>
  </si>
  <si>
    <t xml:space="preserve">IIT Madras</t>
  </si>
  <si>
    <t xml:space="preserve">IIT Madras Incubation Cell</t>
  </si>
  <si>
    <t xml:space="preserve">IITM Incubation Cell Team</t>
  </si>
  <si>
    <t xml:space="preserve">jaya@incubation.iitm.ac.in</t>
  </si>
  <si>
    <t xml:space="preserve">Deep-tech commercialization, AI/cloud strategy, enterprise GTM, founder mentoring, Europe access.</t>
  </si>
  <si>
    <t xml:space="preserve">External Advisor / Mentor – AI, Product &amp; India–Europe Market Access | IIT Madras Incubation Cell</t>
  </si>
  <si>
    <t xml:space="preserve">Send a senior advisor proposition around enterprise tech, AI/cloud and India–Europe market access; mention mentoring/teaching background.</t>
  </si>
  <si>
    <t xml:space="preserve">Already emailed IITM Incubation Cell</t>
  </si>
  <si>
    <t xml:space="preserve">Erode</t>
  </si>
  <si>
    <t xml:space="preserve">Kongu Engineering College</t>
  </si>
  <si>
    <t xml:space="preserve">Technology Business Incubator / Innovation &amp; Entrepreneurship Forum</t>
  </si>
  <si>
    <t xml:space="preserve">Dr. Praveen Kumar Subramanian</t>
  </si>
  <si>
    <t xml:space="preserve">Convener, Innovation &amp; Entrepreneurship Forum</t>
  </si>
  <si>
    <t xml:space="preserve">praveenkumar.mts@kongu.edu</t>
  </si>
  <si>
    <t xml:space="preserve">iickec@kongu.edu</t>
  </si>
  <si>
    <t xml:space="preserve">+91 95005 75414 / +91 63826 50340</t>
  </si>
  <si>
    <t xml:space="preserve">https://kongu.ac.in/kongu.ac.in/ief.php</t>
  </si>
  <si>
    <t xml:space="preserve">Entrepreneurship education, AI/product mentoring, technology commercialization, industry connections.</t>
  </si>
  <si>
    <t xml:space="preserve">External Advisor / Mentor – AI, Product &amp; India–Europe Market Access | Technology Business Incubator / Innovation &amp; Entrepreneurship Forum</t>
  </si>
  <si>
    <t xml:space="preserve">Write directly to the Convener; propose mentor clinics, venture reviews and AI entrepreneurship sessions.</t>
  </si>
  <si>
    <t xml:space="preserve">Already emailed TBI@KEC</t>
  </si>
  <si>
    <t xml:space="preserve">PSG College of Technology</t>
  </si>
  <si>
    <t xml:space="preserve">PSG Science &amp; Technology Entrepreneurial Park (PSG-STEP)</t>
  </si>
  <si>
    <t xml:space="preserve">D. Manikandan</t>
  </si>
  <si>
    <t xml:space="preserve">step@psgtech.edu</t>
  </si>
  <si>
    <t xml:space="preserve">+91 422 4363300</t>
  </si>
  <si>
    <t xml:space="preserve">https://nidhi.dst.gov.in/incubator/</t>
  </si>
  <si>
    <t xml:space="preserve">Technology commercialization, AI/product strategy, enterprise partnerships, startup mentoring.</t>
  </si>
  <si>
    <t xml:space="preserve">External Advisor / Mentor – AI, Product &amp; India–Europe Market Access | PSG Science &amp; Technology Entrepreneurial Park (PSG-STEP)</t>
  </si>
  <si>
    <t xml:space="preserve">Write to PSG-STEP with external advisor CV and focus on AI/product commercialization and corporate-market linkage.</t>
  </si>
  <si>
    <t xml:space="preserve">Thanjavur</t>
  </si>
  <si>
    <t xml:space="preserve">SASTRA Deemed University</t>
  </si>
  <si>
    <t xml:space="preserve">FIRST – Technology Business Incubator</t>
  </si>
  <si>
    <t xml:space="preserve">Nirmal Narayanan</t>
  </si>
  <si>
    <t xml:space="preserve">first@sastra.ac.in</t>
  </si>
  <si>
    <t xml:space="preserve">+91 86087 00551</t>
  </si>
  <si>
    <t xml:space="preserve">AI/product strategy, commercialization, enterprise GTM, founder mentoring.</t>
  </si>
  <si>
    <t xml:space="preserve">External Advisor / Mentor – AI, Product &amp; India–Europe Market Access | FIRST</t>
  </si>
  <si>
    <t xml:space="preserve">Email FIRST with a technology/business advisor proposition; offer AI/product and enterprise scaling sessions.</t>
  </si>
  <si>
    <t xml:space="preserve">Vellore</t>
  </si>
  <si>
    <t xml:space="preserve">VIT</t>
  </si>
  <si>
    <t xml:space="preserve">VIT Technology Business Incubator (VIT-TBI)</t>
  </si>
  <si>
    <t xml:space="preserve">Sudha Rajagopalan</t>
  </si>
  <si>
    <t xml:space="preserve">TBI Coordinator</t>
  </si>
  <si>
    <t xml:space="preserve">tbicoordinator@vit.ac.in</t>
  </si>
  <si>
    <t xml:space="preserve">vittbi@vit.ac.in</t>
  </si>
  <si>
    <t xml:space="preserve">+91 416 2202301 / 2202303 / 2243097</t>
  </si>
  <si>
    <t xml:space="preserve">https://vittbi.com/</t>
  </si>
  <si>
    <t xml:space="preserve">AI/product strategy, technology commercialization, enterprise partnerships, founder mentoring.</t>
  </si>
  <si>
    <t xml:space="preserve">External Advisor / Mentor – AI, Product &amp; India–Europe Market Access | VIT Technology Business Incubator (VIT-TBI)</t>
  </si>
  <si>
    <t xml:space="preserve">Write to the TBI Coordinator with a targeted external-advisor pitch.</t>
  </si>
  <si>
    <t xml:space="preserve">StartupTN – Tamil Nadu Startup and Innovation Mission</t>
  </si>
  <si>
    <t xml:space="preserve">MentorTN / State Startup Mission</t>
  </si>
  <si>
    <t xml:space="preserve">StartupTN MentorTN Team</t>
  </si>
  <si>
    <t xml:space="preserve">Mentor &amp; incubation ecosystem team</t>
  </si>
  <si>
    <t xml:space="preserve">mentor@startuptn.in</t>
  </si>
  <si>
    <t xml:space="preserve">support@startuptn.in</t>
  </si>
  <si>
    <t xml:space="preserve">044-22256789</t>
  </si>
  <si>
    <t xml:space="preserve">https://startuptnmentors.com/support.php</t>
  </si>
  <si>
    <t xml:space="preserve">External Advisor / Mentor Support for MentorTN / State Startup Mission</t>
  </si>
  <si>
    <t xml:space="preserve">Telangana</t>
  </si>
  <si>
    <t xml:space="preserve">Hyderabad</t>
  </si>
  <si>
    <t xml:space="preserve">DLabs Incubator, ISB Hyderabad</t>
  </si>
  <si>
    <t xml:space="preserve">DLabs</t>
  </si>
  <si>
    <t xml:space="preserve">Sai Teja Reddy</t>
  </si>
  <si>
    <t xml:space="preserve">saiteja_reddy@isbdlabs.org</t>
  </si>
  <si>
    <t xml:space="preserve">+91 9502292129</t>
  </si>
  <si>
    <t xml:space="preserve">https://startup.telangana.gov.in/other-incubators/</t>
  </si>
  <si>
    <t xml:space="preserve">External Advisor / Mentor – AI, Product &amp; India–Europe Startup Ecosystem | DLabs</t>
  </si>
  <si>
    <t xml:space="preserve">T-Hub</t>
  </si>
  <si>
    <t xml:space="preserve">T-Hub Accelerator / Innovation Hub</t>
  </si>
  <si>
    <t xml:space="preserve">Kashika Dochania</t>
  </si>
  <si>
    <t xml:space="preserve">Associate – Leadership's Office</t>
  </si>
  <si>
    <t xml:space="preserve">kashika.dochania@t-hub.co</t>
  </si>
  <si>
    <t xml:space="preserve">leadership.office@t-hub.co</t>
  </si>
  <si>
    <t xml:space="preserve">https://startup.telangana.gov.in/incubators/</t>
  </si>
  <si>
    <t xml:space="preserve">External Advisor / Mentor – AI, Product &amp; India–Europe Startup Ecosystem | T-Hub Accelerator / Innovation Hub</t>
  </si>
  <si>
    <t xml:space="preserve">University of Hyderabad</t>
  </si>
  <si>
    <t xml:space="preserve">ASPIRE / BioNEST / innovation ecosystem</t>
  </si>
  <si>
    <t xml:space="preserve">ASPIRE Team</t>
  </si>
  <si>
    <t xml:space="preserve">aspire@uohyd.ac.in</t>
  </si>
  <si>
    <t xml:space="preserve">uohbionest@uohyd.ac.in</t>
  </si>
  <si>
    <t xml:space="preserve">+91 40 29881897 / 1898</t>
  </si>
  <si>
    <t xml:space="preserve">https://aspire.uohyd.ac.in/contact/</t>
  </si>
  <si>
    <t xml:space="preserve">Commercialization, digital/AI platforms, enterprise partnerships, founder mentoring.</t>
  </si>
  <si>
    <t xml:space="preserve">External Advisor / Mentor – AI, Product &amp; India–Europe Market Access | ASPIRE / BioNEST / innovation ecosystem</t>
  </si>
  <si>
    <t xml:space="preserve">Approach ASPIRE for cross-cutting technology/business advisory; for BioNEST, keep the pitch commercial/digital rather than scientific.</t>
  </si>
  <si>
    <t xml:space="preserve">WE Hub</t>
  </si>
  <si>
    <t xml:space="preserve">Women Entrepreneurship Hub</t>
  </si>
  <si>
    <t xml:space="preserve">Sita Pallacholla</t>
  </si>
  <si>
    <t xml:space="preserve">info@wehub.org.in</t>
  </si>
  <si>
    <t xml:space="preserve">+91 9392184664</t>
  </si>
  <si>
    <t xml:space="preserve">https://wehub.telangana.gov.in/about-us/</t>
  </si>
  <si>
    <t xml:space="preserve">External Advisor / Mentor – AI, Product &amp; India–Europe Startup Ecosystem | Women Entrepreneurship Hub</t>
  </si>
  <si>
    <t xml:space="preserve">Indian School of Business (ISB)</t>
  </si>
  <si>
    <t xml:space="preserve">I-Venture / DLabs</t>
  </si>
  <si>
    <t xml:space="preserve">I-Venture Team</t>
  </si>
  <si>
    <t xml:space="preserve">Entrepreneurship &amp; incubation</t>
  </si>
  <si>
    <t xml:space="preserve">i-venture@isb.edu</t>
  </si>
  <si>
    <t xml:space="preserve">+91-8977011810</t>
  </si>
  <si>
    <t xml:space="preserve">https://i-venture.org/connect/</t>
  </si>
  <si>
    <t xml:space="preserve">External Advisor / Mentor – AI, Product &amp; India–Europe Startup Ecosystem | I-Venture / DLabs</t>
  </si>
  <si>
    <t xml:space="preserve">ISB covered via DLabs draft</t>
  </si>
  <si>
    <t xml:space="preserve">IIIT Hyderabad</t>
  </si>
  <si>
    <t xml:space="preserve">CIE – Centre for Innovation &amp; Entrepreneurship</t>
  </si>
  <si>
    <t xml:space="preserve">CIE Team</t>
  </si>
  <si>
    <t xml:space="preserve">incubation@iiith.org</t>
  </si>
  <si>
    <t xml:space="preserve">incubation@iiit.ac.in</t>
  </si>
  <si>
    <t xml:space="preserve">https://cie.iiit.ac.in/connect/</t>
  </si>
  <si>
    <t xml:space="preserve">AI/software platforms, product architecture, enterprise SaaS, startup scaling, mentoring.</t>
  </si>
  <si>
    <t xml:space="preserve">External Advisor / Mentor – AI, Product &amp; India–Europe Market Access | CIE</t>
  </si>
  <si>
    <t xml:space="preserve">Email CIE to join mentor/advisor ecosystem; lead with AI/software, product architecture and enterprise GTM.</t>
  </si>
  <si>
    <t xml:space="preserve">IIT Hyderabad</t>
  </si>
  <si>
    <t xml:space="preserve">iTIC Incubator</t>
  </si>
  <si>
    <t xml:space="preserve">iTIC Team</t>
  </si>
  <si>
    <t xml:space="preserve">contact@itic.iith.ac.in</t>
  </si>
  <si>
    <t xml:space="preserve">+91 83310 36155</t>
  </si>
  <si>
    <t xml:space="preserve">https://itic.iith.ac.in/</t>
  </si>
  <si>
    <t xml:space="preserve">AI/cloud/platform architecture, deep-tech commercialization, enterprise GTM, founder mentoring.</t>
  </si>
  <si>
    <t xml:space="preserve">External Advisor / Mentor – AI, Product &amp; India–Europe Market Access | iTIC Incubator</t>
  </si>
  <si>
    <t xml:space="preserve">Email iTIC with an external advisor/mentor proposal focused on AI/software, enterprise adoption and Europe scaling.</t>
  </si>
  <si>
    <t xml:space="preserve">Telangana Innovation Cell (TGIC)</t>
  </si>
  <si>
    <t xml:space="preserve">Startup Telangana</t>
  </si>
  <si>
    <t xml:space="preserve">Meraj Faheem</t>
  </si>
  <si>
    <t xml:space="preserve">CEO, Telangana Innovation Cell</t>
  </si>
  <si>
    <t xml:space="preserve">tsic@telangana.gov.in</t>
  </si>
  <si>
    <t xml:space="preserve">pr-tsic@telangana.gov.in</t>
  </si>
  <si>
    <t xml:space="preserve">+91 9100678543</t>
  </si>
  <si>
    <t xml:space="preserve">https://startup.telangana.gov.in/nodal-team/</t>
  </si>
  <si>
    <t xml:space="preserve">External Advisor / Mentor Support for Startup Telangana</t>
  </si>
  <si>
    <t xml:space="preserve">Tripura</t>
  </si>
  <si>
    <t xml:space="preserve">Agartala</t>
  </si>
  <si>
    <t xml:space="preserve">Tripura University</t>
  </si>
  <si>
    <t xml:space="preserve">Entrepreneurship Development Centre &amp; Incubation Centre</t>
  </si>
  <si>
    <t xml:space="preserve">Prof. Salim Shah</t>
  </si>
  <si>
    <t xml:space="preserve">Coordinator / Centre Head</t>
  </si>
  <si>
    <t xml:space="preserve">https://tripurauniv.ac.in/site/index.php/en/edc-ic-home-en</t>
  </si>
  <si>
    <t xml:space="preserve">Entrepreneurship education, digital business, AI/product workshops, startup readiness.</t>
  </si>
  <si>
    <t xml:space="preserve">External Advisor / Mentor – AI, Product &amp; India–Europe Market Access | Entrepreneurship Development Centre &amp; Incubation Centre</t>
  </si>
  <si>
    <t xml:space="preserve">Use the official centre page to obtain/confirm the current direct email and then send a concise advisor proposal.</t>
  </si>
  <si>
    <t xml:space="preserve">Startup Tripura – Directorate of Information Technology</t>
  </si>
  <si>
    <t xml:space="preserve">Startup Tripura Team</t>
  </si>
  <si>
    <t xml:space="preserve">startup.tripuraagt@gmail.com</t>
  </si>
  <si>
    <t xml:space="preserve">0381-2356500</t>
  </si>
  <si>
    <t xml:space="preserve">https://startup.tripura.gov.in/</t>
  </si>
  <si>
    <t xml:space="preserve">Uttar Pradesh</t>
  </si>
  <si>
    <t xml:space="preserve">Noida</t>
  </si>
  <si>
    <t xml:space="preserve">Amity University</t>
  </si>
  <si>
    <t xml:space="preserve">Amity Innovation Incubator</t>
  </si>
  <si>
    <t xml:space="preserve">Vijay Vir Singh</t>
  </si>
  <si>
    <t xml:space="preserve">Vice President / Authorized representative</t>
  </si>
  <si>
    <t xml:space="preserve">info@aii.amity.edu</t>
  </si>
  <si>
    <t xml:space="preserve">+91 120 4659000 / 4392243</t>
  </si>
  <si>
    <t xml:space="preserve">https://www.amity.edu/aii/contactus.html</t>
  </si>
  <si>
    <t xml:space="preserve">Corporate innovation, AI/product strategy, startup scaling, founder mentoring, Europe market access.</t>
  </si>
  <si>
    <t xml:space="preserve">External Advisor / Mentor – AI, Product &amp; India–Europe Market Access | Amity Innovation Incubator</t>
  </si>
  <si>
    <t xml:space="preserve">Address the incubator leadership and request advisor/mentor empanelment; emphasize corporate/enterprise technology plus cross-border ecosystem.</t>
  </si>
  <si>
    <t xml:space="preserve">Varanasi</t>
  </si>
  <si>
    <t xml:space="preserve">Banaras Hindu University</t>
  </si>
  <si>
    <t xml:space="preserve">BioNEST – BHU</t>
  </si>
  <si>
    <t xml:space="preserve">Prof. Rajeshwar Prasad Sinha</t>
  </si>
  <si>
    <t xml:space="preserve">Coordinator / Director &amp; CEO</t>
  </si>
  <si>
    <t xml:space="preserve">rpsinhabhu@gmail.com</t>
  </si>
  <si>
    <t xml:space="preserve">https://startinup.up.gov.in/recognized-incubators/</t>
  </si>
  <si>
    <t xml:space="preserve">Commercialization, digital/AI enablement, operations, enterprise partnerships, market access.</t>
  </si>
  <si>
    <t xml:space="preserve">External Advisor / Mentor – AI, Product &amp; India–Europe Market Access | BioNEST</t>
  </si>
  <si>
    <t xml:space="preserve">Position only for commercialization, digital transformation, AI platform and market-access advisory—not scientific advice.</t>
  </si>
  <si>
    <t xml:space="preserve">Noida / Lucknow</t>
  </si>
  <si>
    <t xml:space="preserve">IIM Lucknow</t>
  </si>
  <si>
    <t xml:space="preserve">IIM Lucknow Enterprise Incubation Centre (IIML-EIC)</t>
  </si>
  <si>
    <t xml:space="preserve">Prof. Ashish Dubey</t>
  </si>
  <si>
    <t xml:space="preserve">Faculty In-Charge</t>
  </si>
  <si>
    <t xml:space="preserve">incubator@iiml.ac.in</t>
  </si>
  <si>
    <t xml:space="preserve">+91 120 6678511</t>
  </si>
  <si>
    <t xml:space="preserve">https://www.iimleic.com/about-us</t>
  </si>
  <si>
    <t xml:space="preserve">Product/GTM, corporate innovation, founder governance, AI adoption, India–Europe scaling.</t>
  </si>
  <si>
    <t xml:space="preserve">External Advisor / Mentor – AI, Product &amp; India–Europe Market Access | IIM Lucknow Enterprise Incubation Centre (IIML-EIC)</t>
  </si>
  <si>
    <t xml:space="preserve">Address the Faculty In-Charge via the incubator inbox and propose advisor/mentor-in-residence support.</t>
  </si>
  <si>
    <t xml:space="preserve">IIT (BHU) Varanasi</t>
  </si>
  <si>
    <t xml:space="preserve">Joint Incubation Centre (JIC)</t>
  </si>
  <si>
    <t xml:space="preserve">Prof. Manoj Kumar Meshram</t>
  </si>
  <si>
    <t xml:space="preserve">coordinator.jic@itbhu.ac.in</t>
  </si>
  <si>
    <t xml:space="preserve">+91 542 7165505</t>
  </si>
  <si>
    <t xml:space="preserve">https://iitbhu.ac.in/cf/jic/people</t>
  </si>
  <si>
    <t xml:space="preserve">AI/cloud, technology commercialization, enterprise partnerships, startup mentoring.</t>
  </si>
  <si>
    <t xml:space="preserve">External Advisor / Mentor – AI, Product &amp; India–Europe Market Access | Joint Incubation Centre (JIC)</t>
  </si>
  <si>
    <t xml:space="preserve">Write directly to the Coordinator with technology-advisor profile and proposed founder review cadence.</t>
  </si>
  <si>
    <t xml:space="preserve">Kanpur</t>
  </si>
  <si>
    <t xml:space="preserve">IIT Kanpur</t>
  </si>
  <si>
    <t xml:space="preserve">Startup Incubation &amp; Innovation Centre (SIIC)</t>
  </si>
  <si>
    <t xml:space="preserve">SIIC Team</t>
  </si>
  <si>
    <t xml:space="preserve">siic@iitk.ac.in</t>
  </si>
  <si>
    <t xml:space="preserve">+91 512 2597979 / 6797979</t>
  </si>
  <si>
    <t xml:space="preserve">https://www.siicincubator.com/contact</t>
  </si>
  <si>
    <t xml:space="preserve">Deep-tech commercialization, AI/cloud/platform strategy, enterprise partnerships, founder mentoring.</t>
  </si>
  <si>
    <t xml:space="preserve">External Advisor / Mentor – AI, Product &amp; India–Europe Market Access | Startup Incubation &amp; Innovation Centre (SIIC)</t>
  </si>
  <si>
    <t xml:space="preserve">Email SIIC requesting advisor/mentor panel consideration; attach one-page bio and 3 proposed contribution areas.</t>
  </si>
  <si>
    <t xml:space="preserve">Lucknow</t>
  </si>
  <si>
    <t xml:space="preserve">StartInUP – Department of IT &amp; Electronics</t>
  </si>
  <si>
    <t xml:space="preserve">StartInUP Team</t>
  </si>
  <si>
    <t xml:space="preserve">info@itpolicyup.gov.in</t>
  </si>
  <si>
    <t xml:space="preserve">0522-4130303</t>
  </si>
  <si>
    <t xml:space="preserve">https://www.startupindia.gov.in/content/sih/en/state-startup-policies/Uttar-Pradesh-state-policy.html</t>
  </si>
  <si>
    <t xml:space="preserve">Uttarakhand</t>
  </si>
  <si>
    <t xml:space="preserve">Kashipur</t>
  </si>
  <si>
    <t xml:space="preserve">IIM Kashipur</t>
  </si>
  <si>
    <t xml:space="preserve">Foundation for Innovation &amp; Entrepreneurship Development (FIED)</t>
  </si>
  <si>
    <t xml:space="preserve">FIED Team</t>
  </si>
  <si>
    <t xml:space="preserve">fied@iimkashipur.ac.in</t>
  </si>
  <si>
    <t xml:space="preserve">fied.ceo@iimkashipur.ac.in</t>
  </si>
  <si>
    <t xml:space="preserve">+91 7088270882</t>
  </si>
  <si>
    <t xml:space="preserve">https://fied.in/</t>
  </si>
  <si>
    <t xml:space="preserve">External Advisor / Mentor – AI, Product &amp; India–Europe Startup Ecosystem | Foundation for Innovation &amp; Entrepreneurship Development (FIED)</t>
  </si>
  <si>
    <t xml:space="preserve">Roorkee</t>
  </si>
  <si>
    <t xml:space="preserve">IIT Roorkee</t>
  </si>
  <si>
    <t xml:space="preserve">TIDES Business Incubator</t>
  </si>
  <si>
    <t xml:space="preserve">TIDES Team</t>
  </si>
  <si>
    <t xml:space="preserve">Incubation / engagement team</t>
  </si>
  <si>
    <t xml:space="preserve">tides@iitr.ac.in</t>
  </si>
  <si>
    <t xml:space="preserve">+91 1332 285736</t>
  </si>
  <si>
    <t xml:space="preserve">https://tides.iitr.ac.in/contact-us</t>
  </si>
  <si>
    <t xml:space="preserve">Deep-tech commercialization, AI/cloud platforms, enterprise GTM, founder mentoring, Europe market access.</t>
  </si>
  <si>
    <t xml:space="preserve">External Advisor / Mentor – AI, Product &amp; India–Europe Market Access | TIDES Business Incubator</t>
  </si>
  <si>
    <t xml:space="preserve">Use TIDES “Engage” route / contact form and specify interest in joining as mentor/advisor/partner.</t>
  </si>
  <si>
    <t xml:space="preserve">Dehradun</t>
  </si>
  <si>
    <t xml:space="preserve">UPES</t>
  </si>
  <si>
    <t xml:space="preserve">Runway Incubator</t>
  </si>
  <si>
    <t xml:space="preserve">Mohit Nagpal</t>
  </si>
  <si>
    <t xml:space="preserve">Incubation Senior Manager</t>
  </si>
  <si>
    <t xml:space="preserve">contact@runwayincubator.com</t>
  </si>
  <si>
    <t xml:space="preserve">runway@upes.ac.in</t>
  </si>
  <si>
    <t xml:space="preserve">+91 80776 60434</t>
  </si>
  <si>
    <t xml:space="preserve">https://www.runwayincubator.com/</t>
  </si>
  <si>
    <t xml:space="preserve">AI/product strategy, enterprise technology, startup execution, international market connections.</t>
  </si>
  <si>
    <t xml:space="preserve">External Advisor / Mentor – AI, Product &amp; India–Europe Market Access | Runway Incubator</t>
  </si>
  <si>
    <t xml:space="preserve">Write directly to the Incubation Senior Manager proposing external advisory support and founder office hours.</t>
  </si>
  <si>
    <t xml:space="preserve">Already emailed UPES Runway</t>
  </si>
  <si>
    <t xml:space="preserve">Startup Uttarakhand – Department of MSME</t>
  </si>
  <si>
    <t xml:space="preserve">Startup Uttarakhand Cell</t>
  </si>
  <si>
    <t xml:space="preserve">startupcelluk@gmail.com</t>
  </si>
  <si>
    <t xml:space="preserve">+91 7618544555</t>
  </si>
  <si>
    <t xml:space="preserve">https://www.startupindia.gov.in/content/sih/en/state-startup-policies/Uttarakhand-state-policy.html</t>
  </si>
  <si>
    <t xml:space="preserve">West Bengal</t>
  </si>
  <si>
    <t xml:space="preserve">Kolkata</t>
  </si>
  <si>
    <t xml:space="preserve">IIM Calcutta</t>
  </si>
  <si>
    <t xml:space="preserve">IIM Calcutta Innovation Park (IIMCIP)</t>
  </si>
  <si>
    <t xml:space="preserve">IIMCIP Team</t>
  </si>
  <si>
    <t xml:space="preserve">Incubation / mentoring</t>
  </si>
  <si>
    <t xml:space="preserve">contact@iimcip.org</t>
  </si>
  <si>
    <t xml:space="preserve">https://www.iimcal.ac.in/faculty/centers-of-excellence/centre-for-entrepreneurship-innovation/contact-us</t>
  </si>
  <si>
    <t xml:space="preserve">Product/GTM, corporate innovation, startup governance, AI adoption, India–Europe market access.</t>
  </si>
  <si>
    <t xml:space="preserve">External Advisor / Mentor – AI, Product &amp; India–Europe Market Access | IIM Calcutta Innovation Park (IIMCIP)</t>
  </si>
  <si>
    <t xml:space="preserve">Email IIMCIP for mentoring/advisory collaboration; ask to be routed to the relevant portfolio/mentor lead.</t>
  </si>
  <si>
    <t xml:space="preserve">Howrah</t>
  </si>
  <si>
    <t xml:space="preserve">IIEST Shibpur</t>
  </si>
  <si>
    <t xml:space="preserve">Co-Innovation Centre (CiC)</t>
  </si>
  <si>
    <t xml:space="preserve">Tanmay Pal</t>
  </si>
  <si>
    <t xml:space="preserve">Co-Innovation Mentor</t>
  </si>
  <si>
    <t xml:space="preserve">tanmay@mechatronics.iiests.ac.in</t>
  </si>
  <si>
    <t xml:space="preserve">+91 9830764060</t>
  </si>
  <si>
    <t xml:space="preserve">https://cic.iiests.ac.in/</t>
  </si>
  <si>
    <t xml:space="preserve">External Advisor / Mentor – AI, Product &amp; India–Europe Startup Ecosystem | Co-Innovation Centre (CiC)</t>
  </si>
  <si>
    <t xml:space="preserve">Kharagpur</t>
  </si>
  <si>
    <t xml:space="preserve">IIT Kharagpur</t>
  </si>
  <si>
    <t xml:space="preserve">STEP IIT Kharagpur</t>
  </si>
  <si>
    <t xml:space="preserve">mdstep@hijli.iitkgp.ernet.in</t>
  </si>
  <si>
    <t xml:space="preserve">dbiswas@sric.iitkgp.ernet.in</t>
  </si>
  <si>
    <t xml:space="preserve">https://www.indiascienceandtechnology.gov.in/technologyincubators/science-and-technology-entrepreneurs-park-step-iit-kharagpur</t>
  </si>
  <si>
    <t xml:space="preserve">Technology commercialization, AI/product strategy, enterprise partnerships, founder mentoring.</t>
  </si>
  <si>
    <t xml:space="preserve">Email STEP requesting the current advisor/mentor onboarding route; verify legacy ERNET addresses before sending.</t>
  </si>
  <si>
    <t xml:space="preserve">Jadavpur University</t>
  </si>
  <si>
    <t xml:space="preserve">Innovation &amp; Startup / IIC</t>
  </si>
  <si>
    <t xml:space="preserve">IIC Jadavpur University Team</t>
  </si>
  <si>
    <t xml:space="preserve">Innovation Council</t>
  </si>
  <si>
    <t xml:space="preserve">iicju@jadavpuruniversity.in</t>
  </si>
  <si>
    <t xml:space="preserve">ecell@jadavpuruniversity.in</t>
  </si>
  <si>
    <t xml:space="preserve">https://juinnovationstartup.jdvu.ac.in/</t>
  </si>
  <si>
    <t xml:space="preserve">External Advisor / Mentor – AI, Product &amp; India–Europe Startup Ecosystem | Innovation &amp; Startup / IIC</t>
  </si>
  <si>
    <t xml:space="preserve">Startup Bengal – Department of MSME &amp; Textiles</t>
  </si>
  <si>
    <t xml:space="preserve">Startup Bengal / MSME Team</t>
  </si>
  <si>
    <t xml:space="preserve">msme@wb.gov.in</t>
  </si>
  <si>
    <t xml:space="preserve">+91 33 2214-5999</t>
  </si>
  <si>
    <t xml:space="preserve">https://www.startupindia.gov.in/content/sih/en/state-startup-policies/West-Bengal-state-policy.html</t>
  </si>
  <si>
    <t xml:space="preserve">Not Contacted</t>
  </si>
  <si>
    <t xml:space="preserve">No public startup-cell email verified on the source page; use the phone route or the AIC-PEC contact in this workbook.</t>
  </si>
  <si>
    <t xml:space="preserve">Total</t>
  </si>
  <si>
    <t xml:space="preserve">Engineering / Tech</t>
  </si>
  <si>
    <t xml:space="preserve">Accelerators</t>
  </si>
  <si>
    <t xml:space="preserve">Govt Startup</t>
  </si>
  <si>
    <t xml:space="preserve">With Email</t>
  </si>
  <si>
    <t xml:space="preserve">Concise Advisor / Mentor Outreach Email</t>
  </si>
  <si>
    <t xml:space="preserve">Field</t>
  </si>
  <si>
    <t xml:space="preserve">Recommended content</t>
  </si>
  <si>
    <t xml:space="preserve">Subject</t>
  </si>
  <si>
    <t xml:space="preserve">External Advisor / Mentor – [Incubator / Program Name]</t>
  </si>
  <si>
    <t xml:space="preserve">Greeting</t>
  </si>
  <si>
    <t xml:space="preserve">Dear [Name],</t>
  </si>
  <si>
    <t xml:space="preserve">Opening</t>
  </si>
  <si>
    <t xml:space="preserve">I came across [specific program / initiative] at [institution] and wanted to reach out about contributing as an external advisor or mentor.</t>
  </si>
  <si>
    <t xml:space="preserve">Credibility</t>
  </si>
  <si>
    <t xml:space="preserve">I’m Madhiyazhagan Ramamoorthy, based in Berlin, with 16+ years of experience across India, the UAE and Germany in technology delivery, AI, digital transformation and product execution. Alongside my professional work, I mentor founders and contribute to startup and university initiatives.</t>
  </si>
  <si>
    <t xml:space="preserve">I could support your founders around [choose 2–3: AI/product strategy, enterprise readiness, go-to-market, founder mentoring, technology commercialization, India–Europe market access].</t>
  </si>
  <si>
    <t xml:space="preserve">CTA</t>
  </si>
  <si>
    <t xml:space="preserve">Would you be open to a short introductory conversation to see whether this could be useful for your founders or current programs?</t>
  </si>
  <si>
    <t xml:space="preserve">Close</t>
  </si>
  <si>
    <t xml:space="preserve">Best regards,
Madhiyazhagan Ramamoorthy
Berlin, Germany
LinkedIn: linkedin.com/in/madhi-pm-scrum-qa/</t>
  </si>
  <si>
    <t xml:space="preserve">Rule 1</t>
  </si>
  <si>
    <t xml:space="preserve">Keep each email around 90–140 words and personalize the first sentence.</t>
  </si>
  <si>
    <t xml:space="preserve">Rule 2</t>
  </si>
  <si>
    <t xml:space="preserve">Do not send the same sector angle to every target. Use the 'Why Madhi Fits' column.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</si>
</sst>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ptos"/>
      <family val="0"/>
      <charset val="1"/>
    </font>
    <font>
      <sz val="10"/>
      <color rgb="FF1F2937"/>
      <name val="Aptos"/>
      <family val="0"/>
      <charset val="1"/>
    </font>
    <font>
      <i val="true"/>
      <sz val="10"/>
      <color rgb="FF1F2937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5"/>
      <color rgb="FFFFFFFF"/>
      <name val="Apto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324D"/>
        <bgColor rgb="FF1F2937"/>
      </patternFill>
    </fill>
    <fill>
      <patternFill patternType="solid">
        <fgColor rgb="FFE8F0FE"/>
        <bgColor rgb="FFE6F4EA"/>
      </patternFill>
    </fill>
    <fill>
      <patternFill patternType="solid">
        <fgColor rgb="FF0F766E"/>
        <bgColor rgb="FF15608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732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6F4EA"/>
          <bgColor rgb="FF000000"/>
        </patternFill>
      </fill>
    </dxf>
    <dxf>
      <fill>
        <patternFill patternType="solid">
          <fgColor rgb="FFFCE8E6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ont>
        <b val="1"/>
      </font>
      <fill>
        <patternFill>
          <bgColor rgb="FFE6F4EA"/>
        </patternFill>
      </fill>
    </dxf>
    <dxf>
      <fill>
        <patternFill>
          <bgColor rgb="FFFFF4CC"/>
        </patternFill>
      </fill>
    </dxf>
    <dxf>
      <fill>
        <patternFill>
          <bgColor rgb="FFFCE8E6"/>
        </patternFill>
      </fill>
    </dxf>
    <dxf>
      <fill>
        <patternFill>
          <bgColor rgb="FFE8F0F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CCCCC"/>
      <rgbColor rgb="FF8B8B8B"/>
      <rgbColor rgb="FF9999FF"/>
      <rgbColor rgb="FF993366"/>
      <rgbColor rgb="FFFFF4CC"/>
      <rgbColor rgb="FFE6F4E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0FE"/>
      <rgbColor rgb="FFCCFFCC"/>
      <rgbColor rgb="FFFCE8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Targets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"Targets"</c:f>
              <c:strCache>
                <c:ptCount val="1"/>
                <c:pt idx="0">
                  <c:v>Targets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Dashboard!$A$15:$A$18</c:f>
              <c:strCache>
                <c:ptCount val="4"/>
                <c:pt idx="0">
                  <c:v>Engineering / Technology University</c:v>
                </c:pt>
                <c:pt idx="1">
                  <c:v>B-School</c:v>
                </c:pt>
                <c:pt idx="2">
                  <c:v>Accelerator / Incubator</c:v>
                </c:pt>
                <c:pt idx="3">
                  <c:v>State / UT Government Startup Mission</c:v>
                </c:pt>
              </c:strCache>
            </c:strRef>
          </c:cat>
          <c:val>
            <c:numRef>
              <c:f>Dashboard!$B$15:$B$18</c:f>
              <c:numCache>
                <c:formatCode>General</c:formatCode>
                <c:ptCount val="4"/>
                <c:pt idx="0">
                  <c:v>49</c:v>
                </c:pt>
                <c:pt idx="1">
                  <c:v>18</c:v>
                </c:pt>
                <c:pt idx="2">
                  <c:v>33</c:v>
                </c:pt>
                <c:pt idx="3">
                  <c:v>30</c:v>
                </c:pt>
              </c:numCache>
            </c:numRef>
          </c:val>
        </c:ser>
        <c:gapWidth val="150"/>
        <c:overlap val="0"/>
        <c:axId val="10335600"/>
        <c:axId val="17227562"/>
      </c:barChart>
      <c:catAx>
        <c:axId val="1033560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7227562"/>
        <c:crosses val="autoZero"/>
        <c:auto val="1"/>
        <c:lblAlgn val="ctr"/>
        <c:lblOffset val="100"/>
        <c:noMultiLvlLbl val="0"/>
      </c:catAx>
      <c:valAx>
        <c:axId val="17227562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03356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11</xdr:row>
      <xdr:rowOff>0</xdr:rowOff>
    </xdr:from>
    <xdr:to>
      <xdr:col>10</xdr:col>
      <xdr:colOff>610560</xdr:colOff>
      <xdr:row>27</xdr:row>
      <xdr:rowOff>189720</xdr:rowOff>
    </xdr:to>
    <xdr:graphicFrame>
      <xdr:nvGraphicFramePr>
        <xdr:cNvPr id="0" name="Chart 1"/>
        <xdr:cNvGraphicFramePr/>
      </xdr:nvGraphicFramePr>
      <xdr:xfrm>
        <a:off x="3947040" y="2419200"/>
        <a:ext cx="6699240" cy="323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cceleratorTargets" displayName="AcceleratorTargets" ref="A1:Q34" headerRowCount="1" totalsRowCount="0" totalsRowShown="0">
  <tableColumns count="17">
    <tableColumn id="1" name="State / UT"/>
    <tableColumn id="2" name="City"/>
    <tableColumn id="3" name="Institution / Organisation"/>
    <tableColumn id="4" name="Incubator / Program / Unit"/>
    <tableColumn id="5" name="Contact Name"/>
    <tableColumn id="6" name="Contact Role"/>
    <tableColumn id="7" name="Primary Email"/>
    <tableColumn id="8" name="CC / Alternate Email"/>
    <tableColumn id="9" name="Phone"/>
    <tableColumn id="10" name="Contact / Profile URL"/>
    <tableColumn id="11" name="Official Source URL"/>
    <tableColumn id="12" name="Priority"/>
    <tableColumn id="13" name="Suggested Subject"/>
    <tableColumn id="14" name="Best Entry Route"/>
    <tableColumn id="15" name="Contact Quality"/>
    <tableColumn id="16" name="Email Status"/>
    <tableColumn id="17" name="Notes"/>
  </tableColumns>
</table>
</file>

<file path=xl/tables/table2.xml><?xml version="1.0" encoding="utf-8"?>
<table xmlns="http://schemas.openxmlformats.org/spreadsheetml/2006/main" id="2" name="BSchoolTargets" displayName="BSchoolTargets" ref="A1:Q19" headerRowCount="1" totalsRowCount="0" totalsRowShown="0">
  <tableColumns count="17">
    <tableColumn id="1" name="State / UT"/>
    <tableColumn id="2" name="City"/>
    <tableColumn id="3" name="Institution / Organisation"/>
    <tableColumn id="4" name="Incubator / Program / Unit"/>
    <tableColumn id="5" name="Contact Name"/>
    <tableColumn id="6" name="Contact Role"/>
    <tableColumn id="7" name="Primary Email"/>
    <tableColumn id="8" name="CC / Alternate Email"/>
    <tableColumn id="9" name="Phone"/>
    <tableColumn id="10" name="Contact / Profile URL"/>
    <tableColumn id="11" name="Official Source URL"/>
    <tableColumn id="12" name="Priority"/>
    <tableColumn id="13" name="Suggested Subject"/>
    <tableColumn id="14" name="Best Entry Route"/>
    <tableColumn id="15" name="Contact Quality"/>
    <tableColumn id="16" name="Email Status"/>
    <tableColumn id="17" name="Notes"/>
  </tableColumns>
</table>
</file>

<file path=xl/tables/table3.xml><?xml version="1.0" encoding="utf-8"?>
<table xmlns="http://schemas.openxmlformats.org/spreadsheetml/2006/main" id="3" name="EngineeringTargets" displayName="EngineeringTargets" ref="A1:Q50" headerRowCount="1" totalsRowCount="0" totalsRowShown="0">
  <tableColumns count="17">
    <tableColumn id="1" name="State / UT"/>
    <tableColumn id="2" name="City"/>
    <tableColumn id="3" name="Institution / Organisation"/>
    <tableColumn id="4" name="Incubator / Program / Unit"/>
    <tableColumn id="5" name="Contact Name"/>
    <tableColumn id="6" name="Contact Role"/>
    <tableColumn id="7" name="Primary Email"/>
    <tableColumn id="8" name="CC / Alternate Email"/>
    <tableColumn id="9" name="Phone"/>
    <tableColumn id="10" name="Contact / Profile URL"/>
    <tableColumn id="11" name="Official Source URL"/>
    <tableColumn id="12" name="Priority"/>
    <tableColumn id="13" name="Suggested Subject"/>
    <tableColumn id="14" name="Best Entry Route"/>
    <tableColumn id="15" name="Contact Quality"/>
    <tableColumn id="16" name="Email Status"/>
    <tableColumn id="17" name="Notes"/>
  </tableColumns>
</table>
</file>

<file path=xl/tables/table4.xml><?xml version="1.0" encoding="utf-8"?>
<table xmlns="http://schemas.openxmlformats.org/spreadsheetml/2006/main" id="4" name="GovernmentTargets" displayName="GovernmentTargets" ref="A1:Q31" headerRowCount="1" totalsRowCount="0" totalsRowShown="0">
  <tableColumns count="17">
    <tableColumn id="1" name="State / UT"/>
    <tableColumn id="2" name="City"/>
    <tableColumn id="3" name="Institution / Organisation"/>
    <tableColumn id="4" name="Incubator / Program / Unit"/>
    <tableColumn id="5" name="Contact Name"/>
    <tableColumn id="6" name="Contact Role"/>
    <tableColumn id="7" name="Primary Email"/>
    <tableColumn id="8" name="CC / Alternate Email"/>
    <tableColumn id="9" name="Phone"/>
    <tableColumn id="10" name="Contact / Profile URL"/>
    <tableColumn id="11" name="Official Source URL"/>
    <tableColumn id="12" name="Priority"/>
    <tableColumn id="13" name="Suggested Subject"/>
    <tableColumn id="14" name="Best Entry Route"/>
    <tableColumn id="15" name="Contact Quality"/>
    <tableColumn id="16" name="Email Status"/>
    <tableColumn id="17" name="Notes"/>
  </tableColumns>
</table>
</file>

<file path=xl/tables/table5.xml><?xml version="1.0" encoding="utf-8"?>
<table xmlns="http://schemas.openxmlformats.org/spreadsheetml/2006/main" id="5" name="MasterContacts" displayName="MasterContacts" ref="A1:V131" headerRowCount="1" totalsRowCount="0" totalsRowShown="0">
  <tableColumns count="22">
    <tableColumn id="1" name="ID"/>
    <tableColumn id="2" name="State / UT"/>
    <tableColumn id="3" name="City"/>
    <tableColumn id="4" name="Category"/>
    <tableColumn id="5" name="Institution / Organisation"/>
    <tableColumn id="6" name="Incubator / Program / Unit"/>
    <tableColumn id="7" name="Contact Name"/>
    <tableColumn id="8" name="Contact Role"/>
    <tableColumn id="9" name="Primary Email"/>
    <tableColumn id="10" name="CC / Alternate Email"/>
    <tableColumn id="11" name="Phone"/>
    <tableColumn id="12" name="Contact / Profile URL"/>
    <tableColumn id="13" name="Official Source URL"/>
    <tableColumn id="14" name="Priority"/>
    <tableColumn id="15" name="Why Madhi Fits"/>
    <tableColumn id="16" name="Suggested Subject"/>
    <tableColumn id="17" name="Best Entry Route"/>
    <tableColumn id="18" name="Contact Quality"/>
    <tableColumn id="19" name="Verified On"/>
    <tableColumn id="20" name="Email Status"/>
    <tableColumn id="21" name="Last Contacted"/>
    <tableColumn id="22" name="Notes"/>
  </tableColumns>
</table>
</file>

<file path=xl/tables/table6.xml><?xml version="1.0" encoding="utf-8"?>
<table xmlns="http://schemas.openxmlformats.org/spreadsheetml/2006/main" id="6" name="StateSummary" displayName="StateSummary" ref="A1:H32" headerRowCount="1" totalsRowCount="0" totalsRowShown="0">
  <tableColumns count="8">
    <tableColumn id="1" name="State / UT"/>
    <tableColumn id="2" name="Total"/>
    <tableColumn id="3" name="Engineering / Tech"/>
    <tableColumn id="4" name="B-Schools"/>
    <tableColumn id="5" name="Accelerators"/>
    <tableColumn id="6" name="Govt Startup"/>
    <tableColumn id="7" name="With Email"/>
    <tableColumn id="8" name="Priority A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5"/>
    <col collapsed="false" customWidth="true" hidden="false" outlineLevel="0" max="3" min="3" style="1" width="3"/>
    <col collapsed="false" customWidth="true" hidden="false" outlineLevel="0" max="4" min="4" style="1" width="28"/>
    <col collapsed="false" customWidth="true" hidden="false" outlineLevel="0" max="5" min="5" style="1" width="15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4"/>
      <c r="F2" s="4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customFormat="false" ht="15" hidden="false" customHeight="true" outlineLevel="0" collapsed="false">
      <c r="A4" s="5" t="s">
        <v>2</v>
      </c>
      <c r="B4" s="5" t="s">
        <v>3</v>
      </c>
      <c r="C4" s="3"/>
      <c r="D4" s="5" t="s">
        <v>4</v>
      </c>
      <c r="E4" s="5" t="s">
        <v>3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customFormat="false" ht="15" hidden="false" customHeight="true" outlineLevel="0" collapsed="false">
      <c r="A5" s="3" t="s">
        <v>5</v>
      </c>
      <c r="B5" s="3" t="n">
        <f aca="false">COUNTA('Master Mail List'!A2:A131)</f>
        <v>130</v>
      </c>
      <c r="C5" s="3"/>
      <c r="D5" s="3" t="s">
        <v>6</v>
      </c>
      <c r="E5" s="3" t="n">
        <f aca="false">COUNTIF('Master Mail List'!N2:N131,"A")</f>
        <v>93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customFormat="false" ht="15" hidden="false" customHeight="true" outlineLevel="0" collapsed="false">
      <c r="A6" s="3" t="s">
        <v>7</v>
      </c>
      <c r="B6" s="3" t="n">
        <v>31</v>
      </c>
      <c r="C6" s="3"/>
      <c r="D6" s="3" t="s">
        <v>8</v>
      </c>
      <c r="E6" s="3" t="n">
        <f aca="false">COUNTIF('Master Mail List'!R2:R131,"Named contact + email")</f>
        <v>54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customFormat="false" ht="15" hidden="false" customHeight="true" outlineLevel="0" collapsed="false">
      <c r="A7" s="3" t="s">
        <v>9</v>
      </c>
      <c r="B7" s="3" t="n">
        <f aca="false">COUNTIF('Master Mail List'!D2:D131,"Engineering / Technology University")</f>
        <v>49</v>
      </c>
      <c r="C7" s="3"/>
      <c r="D7" s="3" t="s">
        <v>10</v>
      </c>
      <c r="E7" s="3" t="n">
        <f aca="false">COUNTIF('Master Mail List'!R2:R131,"Functional / office email")</f>
        <v>72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customFormat="false" ht="15" hidden="false" customHeight="true" outlineLevel="0" collapsed="false">
      <c r="A8" s="3" t="s">
        <v>11</v>
      </c>
      <c r="B8" s="3" t="n">
        <f aca="false">COUNTIF('Master Mail List'!D2:D131,"B-School")</f>
        <v>18</v>
      </c>
      <c r="C8" s="3"/>
      <c r="D8" s="3" t="s">
        <v>12</v>
      </c>
      <c r="E8" s="3" t="n">
        <f aca="false">COUNTIF('Master Mail List'!R2:R131,"No public email verified")</f>
        <v>4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customFormat="false" ht="15" hidden="false" customHeight="true" outlineLevel="0" collapsed="false">
      <c r="A9" s="3" t="s">
        <v>13</v>
      </c>
      <c r="B9" s="3" t="n">
        <f aca="false">COUNTIF('Master Mail List'!D2:D131,"Accelerator / Incubator")</f>
        <v>33</v>
      </c>
      <c r="C9" s="3"/>
      <c r="D9" s="3" t="s">
        <v>14</v>
      </c>
      <c r="E9" s="3" t="n">
        <f aca="false">COUNTIF('Master Mail List'!T2:T131,"Sent")</f>
        <v>86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customFormat="false" ht="15" hidden="false" customHeight="true" outlineLevel="0" collapsed="false">
      <c r="A10" s="3" t="s">
        <v>15</v>
      </c>
      <c r="B10" s="3" t="n">
        <f aca="false">COUNTIF('Master Mail List'!D2:D131,"State / UT Government Startup Mission")</f>
        <v>30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customFormat="false" ht="15" hidden="false" customHeight="true" outlineLevel="0" collapsed="false">
      <c r="A11" s="3" t="s">
        <v>16</v>
      </c>
      <c r="B11" s="3" t="n">
        <v>126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customFormat="false" ht="1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customFormat="false" ht="15" hidden="false" customHeight="true" outlineLevel="0" collapsed="false">
      <c r="A14" s="6" t="s">
        <v>17</v>
      </c>
      <c r="B14" s="6" t="s">
        <v>18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customFormat="false" ht="15" hidden="false" customHeight="true" outlineLevel="0" collapsed="false">
      <c r="A15" s="3" t="s">
        <v>19</v>
      </c>
      <c r="B15" s="3" t="n">
        <f aca="false">COUNTIF('Master Mail List'!D2:D131,A15)</f>
        <v>49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customFormat="false" ht="15" hidden="false" customHeight="true" outlineLevel="0" collapsed="false">
      <c r="A16" s="3" t="s">
        <v>20</v>
      </c>
      <c r="B16" s="3" t="n">
        <f aca="false">COUNTIF('Master Mail List'!D2:D131,A16)</f>
        <v>18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customFormat="false" ht="15" hidden="false" customHeight="true" outlineLevel="0" collapsed="false">
      <c r="A17" s="3" t="s">
        <v>21</v>
      </c>
      <c r="B17" s="3" t="n">
        <f aca="false">COUNTIF('Master Mail List'!D2:D131,A17)</f>
        <v>33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customFormat="false" ht="15" hidden="false" customHeight="true" outlineLevel="0" collapsed="false">
      <c r="A18" s="3" t="s">
        <v>22</v>
      </c>
      <c r="B18" s="3" t="n">
        <f aca="false">COUNTIF('Master Mail List'!D2:D131,A18)</f>
        <v>30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customFormat="false" ht="1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customFormat="false" ht="1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customFormat="false" ht="1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customFormat="false" ht="1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customFormat="false" ht="1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customFormat="false" ht="1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customFormat="false" ht="1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customFormat="false" ht="1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customFormat="false" ht="1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customFormat="false" ht="1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customFormat="false" ht="1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customFormat="false" ht="1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customFormat="false" ht="1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customFormat="false" ht="1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customFormat="false" ht="1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customFormat="false" ht="1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customFormat="false" ht="1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customFormat="false" ht="1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customFormat="false" ht="1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customFormat="false" ht="1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customFormat="false" ht="1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customFormat="false" ht="1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customFormat="false" ht="1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customFormat="false" ht="1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customFormat="false" ht="1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customFormat="false" ht="1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customFormat="false" ht="1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customFormat="false" ht="1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customFormat="false" ht="1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customFormat="false" ht="1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customFormat="false" ht="1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customFormat="false" ht="1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customFormat="false" ht="1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customFormat="false" ht="1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customFormat="false" ht="1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customFormat="false" ht="1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customFormat="false" ht="1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customFormat="false" ht="1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customFormat="false" ht="1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customFormat="false" ht="1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customFormat="false" ht="1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customFormat="false" ht="1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customFormat="false" ht="1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customFormat="false" ht="1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customFormat="false" ht="1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customFormat="false" ht="1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customFormat="false" ht="1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customFormat="false" ht="1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customFormat="false" ht="1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customFormat="false" ht="1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customFormat="false" ht="1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customFormat="false" ht="1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customFormat="false" ht="1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customFormat="false" ht="1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customFormat="false" ht="1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customFormat="false" ht="1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customFormat="false" ht="1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customFormat="false" ht="1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customFormat="false" ht="1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customFormat="false" ht="1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customFormat="false" ht="1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customFormat="false" ht="1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customFormat="false" ht="1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customFormat="false" ht="1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customFormat="false" ht="1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customFormat="false" ht="1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customFormat="false" ht="1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customFormat="false" ht="1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customFormat="false" ht="1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customFormat="false" ht="1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customFormat="false" ht="1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customFormat="false" ht="1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customFormat="false" ht="1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customFormat="false" ht="1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customFormat="false" ht="1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customFormat="false" ht="1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customFormat="false" ht="1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customFormat="false" ht="1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customFormat="false" ht="1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customFormat="false" ht="1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customFormat="false" ht="1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customFormat="false" ht="1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customFormat="false" ht="1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customFormat="false" ht="1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customFormat="false" ht="1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customFormat="false" ht="1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customFormat="false" ht="1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customFormat="false" ht="1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customFormat="false" ht="1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customFormat="false" ht="1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customFormat="false" ht="1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customFormat="false" ht="1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29"/>
    <col collapsed="false" customWidth="true" hidden="false" outlineLevel="0" max="5" min="5" style="1" width="31"/>
    <col collapsed="false" customWidth="true" hidden="false" outlineLevel="0" max="6" min="6" style="1" width="34"/>
    <col collapsed="false" customWidth="true" hidden="false" outlineLevel="0" max="7" min="7" style="1" width="24"/>
    <col collapsed="false" customWidth="true" hidden="false" outlineLevel="0" max="8" min="8" style="1" width="27"/>
    <col collapsed="false" customWidth="true" hidden="false" outlineLevel="0" max="10" min="9" style="1" width="31"/>
    <col collapsed="false" customWidth="true" hidden="false" outlineLevel="0" max="11" min="11" style="1" width="19"/>
    <col collapsed="false" customWidth="true" hidden="false" outlineLevel="0" max="13" min="12" style="1" width="42"/>
    <col collapsed="false" customWidth="true" hidden="false" outlineLevel="0" max="14" min="14" style="1" width="8"/>
    <col collapsed="false" customWidth="true" hidden="false" outlineLevel="0" max="15" min="15" style="1" width="45"/>
    <col collapsed="false" customWidth="true" hidden="false" outlineLevel="0" max="16" min="16" style="1" width="46"/>
    <col collapsed="false" customWidth="true" hidden="false" outlineLevel="0" max="17" min="17" style="1" width="48"/>
    <col collapsed="false" customWidth="true" hidden="false" outlineLevel="0" max="18" min="18" style="1" width="27"/>
    <col collapsed="false" customWidth="true" hidden="false" outlineLevel="0" max="19" min="19" style="1" width="13"/>
    <col collapsed="false" customWidth="true" hidden="false" outlineLevel="0" max="20" min="20" style="1" width="17"/>
    <col collapsed="false" customWidth="true" hidden="false" outlineLevel="0" max="21" min="21" style="1" width="14"/>
    <col collapsed="false" customWidth="true" hidden="false" outlineLevel="0" max="22" min="22" style="1" width="36"/>
  </cols>
  <sheetData>
    <row r="1" customFormat="false" ht="33.75" hidden="false" customHeight="true" outlineLevel="0" collapsed="false">
      <c r="A1" s="7" t="s">
        <v>23</v>
      </c>
      <c r="B1" s="7" t="s">
        <v>24</v>
      </c>
      <c r="C1" s="7" t="s">
        <v>25</v>
      </c>
      <c r="D1" s="7" t="s">
        <v>17</v>
      </c>
      <c r="E1" s="7" t="s">
        <v>26</v>
      </c>
      <c r="F1" s="7" t="s">
        <v>27</v>
      </c>
      <c r="G1" s="7" t="s">
        <v>28</v>
      </c>
      <c r="H1" s="7" t="s">
        <v>29</v>
      </c>
      <c r="I1" s="7" t="s">
        <v>30</v>
      </c>
      <c r="J1" s="7" t="s">
        <v>31</v>
      </c>
      <c r="K1" s="7" t="s">
        <v>32</v>
      </c>
      <c r="L1" s="7" t="s">
        <v>33</v>
      </c>
      <c r="M1" s="7" t="s">
        <v>34</v>
      </c>
      <c r="N1" s="7" t="s">
        <v>35</v>
      </c>
      <c r="O1" s="7" t="s">
        <v>36</v>
      </c>
      <c r="P1" s="7" t="s">
        <v>37</v>
      </c>
      <c r="Q1" s="7" t="s">
        <v>38</v>
      </c>
      <c r="R1" s="7" t="s">
        <v>39</v>
      </c>
      <c r="S1" s="7" t="s">
        <v>40</v>
      </c>
      <c r="T1" s="7" t="s">
        <v>41</v>
      </c>
      <c r="U1" s="7" t="s">
        <v>42</v>
      </c>
      <c r="V1" s="7" t="s">
        <v>43</v>
      </c>
    </row>
    <row r="2" customFormat="false" ht="34.5" hidden="false" customHeight="true" outlineLevel="0" collapsed="false">
      <c r="A2" s="8" t="n">
        <v>1</v>
      </c>
      <c r="B2" s="8" t="s">
        <v>44</v>
      </c>
      <c r="C2" s="8" t="s">
        <v>45</v>
      </c>
      <c r="D2" s="9" t="s">
        <v>20</v>
      </c>
      <c r="E2" s="9" t="s">
        <v>46</v>
      </c>
      <c r="F2" s="9" t="s">
        <v>47</v>
      </c>
      <c r="G2" s="9" t="s">
        <v>48</v>
      </c>
      <c r="H2" s="9" t="s">
        <v>49</v>
      </c>
      <c r="I2" s="9" t="s">
        <v>50</v>
      </c>
      <c r="J2" s="9"/>
      <c r="K2" s="9" t="s">
        <v>51</v>
      </c>
      <c r="L2" s="9" t="s">
        <v>52</v>
      </c>
      <c r="M2" s="9" t="s">
        <v>52</v>
      </c>
      <c r="N2" s="8" t="s">
        <v>53</v>
      </c>
      <c r="O2" s="9" t="s">
        <v>54</v>
      </c>
      <c r="P2" s="9" t="s">
        <v>55</v>
      </c>
      <c r="Q2" s="9" t="s">
        <v>56</v>
      </c>
      <c r="R2" s="9" t="s">
        <v>10</v>
      </c>
      <c r="S2" s="10" t="n">
        <v>46291</v>
      </c>
      <c r="T2" s="8" t="s">
        <v>57</v>
      </c>
      <c r="U2" s="10"/>
      <c r="V2" s="9" t="s">
        <v>58</v>
      </c>
    </row>
    <row r="3" customFormat="false" ht="23.25" hidden="false" customHeight="true" outlineLevel="0" collapsed="false">
      <c r="A3" s="8" t="n">
        <v>2</v>
      </c>
      <c r="B3" s="8" t="s">
        <v>44</v>
      </c>
      <c r="C3" s="8" t="s">
        <v>59</v>
      </c>
      <c r="D3" s="9" t="s">
        <v>19</v>
      </c>
      <c r="E3" s="9" t="s">
        <v>60</v>
      </c>
      <c r="F3" s="9" t="s">
        <v>61</v>
      </c>
      <c r="G3" s="9" t="s">
        <v>62</v>
      </c>
      <c r="H3" s="9" t="s">
        <v>49</v>
      </c>
      <c r="I3" s="9" t="s">
        <v>63</v>
      </c>
      <c r="J3" s="9"/>
      <c r="K3" s="9"/>
      <c r="L3" s="9" t="s">
        <v>64</v>
      </c>
      <c r="M3" s="9" t="s">
        <v>64</v>
      </c>
      <c r="N3" s="8" t="s">
        <v>53</v>
      </c>
      <c r="O3" s="9" t="s">
        <v>65</v>
      </c>
      <c r="P3" s="9" t="s">
        <v>66</v>
      </c>
      <c r="Q3" s="9" t="s">
        <v>67</v>
      </c>
      <c r="R3" s="9" t="s">
        <v>10</v>
      </c>
      <c r="S3" s="10" t="n">
        <v>46291</v>
      </c>
      <c r="T3" s="8" t="s">
        <v>68</v>
      </c>
      <c r="U3" s="10" t="n">
        <v>46291</v>
      </c>
      <c r="V3" s="9"/>
    </row>
    <row r="4" customFormat="false" ht="34.5" hidden="false" customHeight="true" outlineLevel="0" collapsed="false">
      <c r="A4" s="8" t="n">
        <v>3</v>
      </c>
      <c r="B4" s="8" t="s">
        <v>44</v>
      </c>
      <c r="C4" s="8" t="s">
        <v>45</v>
      </c>
      <c r="D4" s="9" t="s">
        <v>22</v>
      </c>
      <c r="E4" s="9" t="s">
        <v>69</v>
      </c>
      <c r="F4" s="9" t="s">
        <v>70</v>
      </c>
      <c r="G4" s="9" t="s">
        <v>71</v>
      </c>
      <c r="H4" s="9" t="s">
        <v>72</v>
      </c>
      <c r="I4" s="9" t="s">
        <v>73</v>
      </c>
      <c r="J4" s="9"/>
      <c r="K4" s="9" t="s">
        <v>74</v>
      </c>
      <c r="L4" s="9" t="s">
        <v>75</v>
      </c>
      <c r="M4" s="9" t="s">
        <v>75</v>
      </c>
      <c r="N4" s="8" t="s">
        <v>53</v>
      </c>
      <c r="O4" s="9" t="s">
        <v>76</v>
      </c>
      <c r="P4" s="9" t="s">
        <v>77</v>
      </c>
      <c r="Q4" s="9" t="s">
        <v>78</v>
      </c>
      <c r="R4" s="9" t="s">
        <v>10</v>
      </c>
      <c r="S4" s="10" t="n">
        <v>46291</v>
      </c>
      <c r="T4" s="8" t="s">
        <v>68</v>
      </c>
      <c r="U4" s="10" t="n">
        <v>46291</v>
      </c>
      <c r="V4" s="9" t="s">
        <v>79</v>
      </c>
    </row>
    <row r="5" customFormat="false" ht="34.5" hidden="false" customHeight="true" outlineLevel="0" collapsed="false">
      <c r="A5" s="8" t="n">
        <v>4</v>
      </c>
      <c r="B5" s="8" t="s">
        <v>80</v>
      </c>
      <c r="C5" s="8" t="s">
        <v>81</v>
      </c>
      <c r="D5" s="9" t="s">
        <v>19</v>
      </c>
      <c r="E5" s="9" t="s">
        <v>82</v>
      </c>
      <c r="F5" s="9" t="s">
        <v>83</v>
      </c>
      <c r="G5" s="9" t="s">
        <v>84</v>
      </c>
      <c r="H5" s="9" t="s">
        <v>85</v>
      </c>
      <c r="I5" s="9" t="s">
        <v>86</v>
      </c>
      <c r="J5" s="9"/>
      <c r="K5" s="9"/>
      <c r="L5" s="9" t="s">
        <v>87</v>
      </c>
      <c r="M5" s="9" t="s">
        <v>87</v>
      </c>
      <c r="N5" s="8" t="s">
        <v>88</v>
      </c>
      <c r="O5" s="9" t="s">
        <v>89</v>
      </c>
      <c r="P5" s="9" t="s">
        <v>90</v>
      </c>
      <c r="Q5" s="9" t="s">
        <v>91</v>
      </c>
      <c r="R5" s="9" t="s">
        <v>8</v>
      </c>
      <c r="S5" s="10" t="n">
        <v>46291</v>
      </c>
      <c r="T5" s="8" t="s">
        <v>68</v>
      </c>
      <c r="U5" s="10" t="n">
        <v>46291</v>
      </c>
      <c r="V5" s="9"/>
    </row>
    <row r="6" customFormat="false" ht="34.5" hidden="false" customHeight="true" outlineLevel="0" collapsed="false">
      <c r="A6" s="8" t="n">
        <v>5</v>
      </c>
      <c r="B6" s="8" t="s">
        <v>80</v>
      </c>
      <c r="C6" s="8" t="s">
        <v>92</v>
      </c>
      <c r="D6" s="9" t="s">
        <v>22</v>
      </c>
      <c r="E6" s="9" t="s">
        <v>93</v>
      </c>
      <c r="F6" s="9" t="s">
        <v>94</v>
      </c>
      <c r="G6" s="9" t="s">
        <v>95</v>
      </c>
      <c r="H6" s="9" t="s">
        <v>72</v>
      </c>
      <c r="I6" s="9" t="s">
        <v>96</v>
      </c>
      <c r="J6" s="9"/>
      <c r="K6" s="9" t="s">
        <v>97</v>
      </c>
      <c r="L6" s="9" t="s">
        <v>98</v>
      </c>
      <c r="M6" s="9" t="s">
        <v>98</v>
      </c>
      <c r="N6" s="8" t="s">
        <v>88</v>
      </c>
      <c r="O6" s="9" t="s">
        <v>76</v>
      </c>
      <c r="P6" s="9" t="s">
        <v>99</v>
      </c>
      <c r="Q6" s="9" t="s">
        <v>78</v>
      </c>
      <c r="R6" s="9" t="s">
        <v>10</v>
      </c>
      <c r="S6" s="10" t="n">
        <v>46291</v>
      </c>
      <c r="T6" s="8" t="s">
        <v>68</v>
      </c>
      <c r="U6" s="10" t="n">
        <v>46291</v>
      </c>
      <c r="V6" s="9" t="s">
        <v>79</v>
      </c>
    </row>
    <row r="7" customFormat="false" ht="34.5" hidden="false" customHeight="true" outlineLevel="0" collapsed="false">
      <c r="A7" s="8" t="n">
        <v>6</v>
      </c>
      <c r="B7" s="8" t="s">
        <v>100</v>
      </c>
      <c r="C7" s="8" t="s">
        <v>101</v>
      </c>
      <c r="D7" s="9" t="s">
        <v>21</v>
      </c>
      <c r="E7" s="9" t="s">
        <v>102</v>
      </c>
      <c r="F7" s="9" t="s">
        <v>103</v>
      </c>
      <c r="G7" s="9" t="s">
        <v>104</v>
      </c>
      <c r="H7" s="9" t="s">
        <v>105</v>
      </c>
      <c r="I7" s="9" t="s">
        <v>106</v>
      </c>
      <c r="J7" s="9" t="s">
        <v>107</v>
      </c>
      <c r="K7" s="9"/>
      <c r="L7" s="9" t="s">
        <v>108</v>
      </c>
      <c r="M7" s="9" t="s">
        <v>108</v>
      </c>
      <c r="N7" s="8" t="s">
        <v>88</v>
      </c>
      <c r="O7" s="9" t="s">
        <v>109</v>
      </c>
      <c r="P7" s="9" t="s">
        <v>110</v>
      </c>
      <c r="Q7" s="9" t="s">
        <v>111</v>
      </c>
      <c r="R7" s="9" t="s">
        <v>8</v>
      </c>
      <c r="S7" s="10" t="n">
        <v>46291</v>
      </c>
      <c r="T7" s="8" t="s">
        <v>68</v>
      </c>
      <c r="U7" s="10" t="n">
        <v>46291</v>
      </c>
      <c r="V7" s="9"/>
    </row>
    <row r="8" customFormat="false" ht="34.5" hidden="false" customHeight="true" outlineLevel="0" collapsed="false">
      <c r="A8" s="8" t="n">
        <v>7</v>
      </c>
      <c r="B8" s="8" t="s">
        <v>100</v>
      </c>
      <c r="C8" s="8" t="s">
        <v>112</v>
      </c>
      <c r="D8" s="9" t="s">
        <v>19</v>
      </c>
      <c r="E8" s="9" t="s">
        <v>113</v>
      </c>
      <c r="F8" s="9" t="s">
        <v>114</v>
      </c>
      <c r="G8" s="9" t="s">
        <v>115</v>
      </c>
      <c r="H8" s="9" t="s">
        <v>116</v>
      </c>
      <c r="I8" s="9" t="s">
        <v>117</v>
      </c>
      <c r="J8" s="9"/>
      <c r="K8" s="9" t="s">
        <v>118</v>
      </c>
      <c r="L8" s="9" t="s">
        <v>119</v>
      </c>
      <c r="M8" s="9" t="s">
        <v>119</v>
      </c>
      <c r="N8" s="8" t="s">
        <v>53</v>
      </c>
      <c r="O8" s="9" t="s">
        <v>120</v>
      </c>
      <c r="P8" s="9" t="s">
        <v>121</v>
      </c>
      <c r="Q8" s="9" t="s">
        <v>122</v>
      </c>
      <c r="R8" s="9" t="s">
        <v>10</v>
      </c>
      <c r="S8" s="10" t="n">
        <v>46291</v>
      </c>
      <c r="T8" s="8" t="s">
        <v>57</v>
      </c>
      <c r="U8" s="10"/>
      <c r="V8" s="9" t="s">
        <v>58</v>
      </c>
    </row>
    <row r="9" customFormat="false" ht="34.5" hidden="false" customHeight="true" outlineLevel="0" collapsed="false">
      <c r="A9" s="8" t="n">
        <v>8</v>
      </c>
      <c r="B9" s="8" t="s">
        <v>100</v>
      </c>
      <c r="C9" s="8" t="s">
        <v>112</v>
      </c>
      <c r="D9" s="9" t="s">
        <v>22</v>
      </c>
      <c r="E9" s="9" t="s">
        <v>123</v>
      </c>
      <c r="F9" s="9" t="s">
        <v>124</v>
      </c>
      <c r="G9" s="9" t="s">
        <v>125</v>
      </c>
      <c r="H9" s="9" t="s">
        <v>126</v>
      </c>
      <c r="I9" s="9" t="s">
        <v>127</v>
      </c>
      <c r="J9" s="9" t="s">
        <v>128</v>
      </c>
      <c r="K9" s="9" t="s">
        <v>129</v>
      </c>
      <c r="L9" s="9" t="s">
        <v>130</v>
      </c>
      <c r="M9" s="9" t="s">
        <v>130</v>
      </c>
      <c r="N9" s="8" t="s">
        <v>53</v>
      </c>
      <c r="O9" s="9" t="s">
        <v>76</v>
      </c>
      <c r="P9" s="9" t="s">
        <v>131</v>
      </c>
      <c r="Q9" s="9" t="s">
        <v>78</v>
      </c>
      <c r="R9" s="9" t="s">
        <v>10</v>
      </c>
      <c r="S9" s="10" t="n">
        <v>46291</v>
      </c>
      <c r="T9" s="8" t="s">
        <v>68</v>
      </c>
      <c r="U9" s="10" t="n">
        <v>46291</v>
      </c>
      <c r="V9" s="9" t="s">
        <v>79</v>
      </c>
    </row>
    <row r="10" customFormat="false" ht="34.5" hidden="false" customHeight="true" outlineLevel="0" collapsed="false">
      <c r="A10" s="8" t="n">
        <v>9</v>
      </c>
      <c r="B10" s="8" t="s">
        <v>132</v>
      </c>
      <c r="C10" s="8" t="s">
        <v>133</v>
      </c>
      <c r="D10" s="9" t="s">
        <v>21</v>
      </c>
      <c r="E10" s="9" t="s">
        <v>134</v>
      </c>
      <c r="F10" s="9" t="s">
        <v>135</v>
      </c>
      <c r="G10" s="9" t="s">
        <v>136</v>
      </c>
      <c r="H10" s="9" t="s">
        <v>137</v>
      </c>
      <c r="I10" s="9" t="s">
        <v>138</v>
      </c>
      <c r="J10" s="9"/>
      <c r="K10" s="9" t="s">
        <v>139</v>
      </c>
      <c r="L10" s="9" t="s">
        <v>140</v>
      </c>
      <c r="M10" s="9" t="s">
        <v>140</v>
      </c>
      <c r="N10" s="8" t="s">
        <v>53</v>
      </c>
      <c r="O10" s="9" t="s">
        <v>141</v>
      </c>
      <c r="P10" s="9" t="s">
        <v>142</v>
      </c>
      <c r="Q10" s="9" t="s">
        <v>143</v>
      </c>
      <c r="R10" s="9" t="s">
        <v>10</v>
      </c>
      <c r="S10" s="10" t="n">
        <v>46291</v>
      </c>
      <c r="T10" s="8" t="s">
        <v>68</v>
      </c>
      <c r="U10" s="10" t="n">
        <v>46291</v>
      </c>
      <c r="V10" s="9" t="s">
        <v>144</v>
      </c>
    </row>
    <row r="11" customFormat="false" ht="34.5" hidden="false" customHeight="true" outlineLevel="0" collapsed="false">
      <c r="A11" s="8" t="n">
        <v>10</v>
      </c>
      <c r="B11" s="8" t="s">
        <v>132</v>
      </c>
      <c r="C11" s="8" t="s">
        <v>133</v>
      </c>
      <c r="D11" s="9" t="s">
        <v>19</v>
      </c>
      <c r="E11" s="9" t="s">
        <v>145</v>
      </c>
      <c r="F11" s="9" t="s">
        <v>146</v>
      </c>
      <c r="G11" s="9" t="s">
        <v>147</v>
      </c>
      <c r="H11" s="9" t="s">
        <v>148</v>
      </c>
      <c r="I11" s="9" t="s">
        <v>149</v>
      </c>
      <c r="J11" s="9"/>
      <c r="K11" s="9" t="s">
        <v>150</v>
      </c>
      <c r="L11" s="9" t="s">
        <v>151</v>
      </c>
      <c r="M11" s="9" t="s">
        <v>151</v>
      </c>
      <c r="N11" s="8" t="s">
        <v>53</v>
      </c>
      <c r="O11" s="9" t="s">
        <v>152</v>
      </c>
      <c r="P11" s="9" t="s">
        <v>153</v>
      </c>
      <c r="Q11" s="9" t="s">
        <v>154</v>
      </c>
      <c r="R11" s="9" t="s">
        <v>8</v>
      </c>
      <c r="S11" s="10" t="n">
        <v>46291</v>
      </c>
      <c r="T11" s="8" t="s">
        <v>57</v>
      </c>
      <c r="U11" s="10"/>
      <c r="V11" s="9" t="s">
        <v>58</v>
      </c>
    </row>
    <row r="12" customFormat="false" ht="34.5" hidden="false" customHeight="true" outlineLevel="0" collapsed="false">
      <c r="A12" s="8" t="n">
        <v>11</v>
      </c>
      <c r="B12" s="8" t="s">
        <v>132</v>
      </c>
      <c r="C12" s="8" t="s">
        <v>133</v>
      </c>
      <c r="D12" s="9" t="s">
        <v>19</v>
      </c>
      <c r="E12" s="9" t="s">
        <v>155</v>
      </c>
      <c r="F12" s="9" t="s">
        <v>156</v>
      </c>
      <c r="G12" s="9" t="s">
        <v>157</v>
      </c>
      <c r="H12" s="9" t="s">
        <v>116</v>
      </c>
      <c r="I12" s="9" t="s">
        <v>158</v>
      </c>
      <c r="J12" s="9"/>
      <c r="K12" s="9"/>
      <c r="L12" s="9" t="s">
        <v>159</v>
      </c>
      <c r="M12" s="9" t="s">
        <v>159</v>
      </c>
      <c r="N12" s="8" t="s">
        <v>88</v>
      </c>
      <c r="O12" s="9" t="s">
        <v>160</v>
      </c>
      <c r="P12" s="9" t="s">
        <v>161</v>
      </c>
      <c r="Q12" s="9" t="s">
        <v>162</v>
      </c>
      <c r="R12" s="9" t="s">
        <v>10</v>
      </c>
      <c r="S12" s="10" t="n">
        <v>46291</v>
      </c>
      <c r="T12" s="8" t="s">
        <v>68</v>
      </c>
      <c r="U12" s="10" t="n">
        <v>46291</v>
      </c>
      <c r="V12" s="9"/>
    </row>
    <row r="13" customFormat="false" ht="34.5" hidden="false" customHeight="true" outlineLevel="0" collapsed="false">
      <c r="A13" s="8" t="n">
        <v>12</v>
      </c>
      <c r="B13" s="8" t="s">
        <v>132</v>
      </c>
      <c r="C13" s="8" t="s">
        <v>133</v>
      </c>
      <c r="D13" s="9" t="s">
        <v>22</v>
      </c>
      <c r="E13" s="9" t="s">
        <v>163</v>
      </c>
      <c r="F13" s="9" t="s">
        <v>94</v>
      </c>
      <c r="G13" s="9" t="s">
        <v>164</v>
      </c>
      <c r="H13" s="9" t="s">
        <v>165</v>
      </c>
      <c r="I13" s="9" t="s">
        <v>166</v>
      </c>
      <c r="J13" s="9" t="s">
        <v>167</v>
      </c>
      <c r="K13" s="9" t="s">
        <v>168</v>
      </c>
      <c r="L13" s="9" t="s">
        <v>169</v>
      </c>
      <c r="M13" s="9" t="s">
        <v>169</v>
      </c>
      <c r="N13" s="8" t="s">
        <v>53</v>
      </c>
      <c r="O13" s="9" t="s">
        <v>76</v>
      </c>
      <c r="P13" s="9" t="s">
        <v>99</v>
      </c>
      <c r="Q13" s="9" t="s">
        <v>78</v>
      </c>
      <c r="R13" s="9" t="s">
        <v>8</v>
      </c>
      <c r="S13" s="10" t="n">
        <v>46291</v>
      </c>
      <c r="T13" s="8" t="s">
        <v>68</v>
      </c>
      <c r="U13" s="10" t="n">
        <v>46291</v>
      </c>
      <c r="V13" s="9" t="s">
        <v>79</v>
      </c>
    </row>
    <row r="14" customFormat="false" ht="45.75" hidden="false" customHeight="true" outlineLevel="0" collapsed="false">
      <c r="A14" s="8" t="n">
        <v>13</v>
      </c>
      <c r="B14" s="8" t="s">
        <v>170</v>
      </c>
      <c r="C14" s="8" t="s">
        <v>171</v>
      </c>
      <c r="D14" s="9" t="s">
        <v>19</v>
      </c>
      <c r="E14" s="9" t="s">
        <v>172</v>
      </c>
      <c r="F14" s="9" t="s">
        <v>173</v>
      </c>
      <c r="G14" s="9" t="s">
        <v>174</v>
      </c>
      <c r="H14" s="9" t="s">
        <v>148</v>
      </c>
      <c r="I14" s="9" t="s">
        <v>175</v>
      </c>
      <c r="J14" s="9"/>
      <c r="K14" s="9" t="s">
        <v>176</v>
      </c>
      <c r="L14" s="9" t="s">
        <v>177</v>
      </c>
      <c r="M14" s="9" t="s">
        <v>177</v>
      </c>
      <c r="N14" s="8" t="s">
        <v>88</v>
      </c>
      <c r="O14" s="9" t="s">
        <v>178</v>
      </c>
      <c r="P14" s="9" t="s">
        <v>179</v>
      </c>
      <c r="Q14" s="9" t="s">
        <v>180</v>
      </c>
      <c r="R14" s="9" t="s">
        <v>8</v>
      </c>
      <c r="S14" s="10" t="n">
        <v>46291</v>
      </c>
      <c r="T14" s="8" t="s">
        <v>68</v>
      </c>
      <c r="U14" s="10" t="n">
        <v>46291</v>
      </c>
      <c r="V14" s="9"/>
    </row>
    <row r="15" customFormat="false" ht="34.5" hidden="false" customHeight="true" outlineLevel="0" collapsed="false">
      <c r="A15" s="8" t="n">
        <v>14</v>
      </c>
      <c r="B15" s="8" t="s">
        <v>170</v>
      </c>
      <c r="C15" s="8" t="s">
        <v>181</v>
      </c>
      <c r="D15" s="9" t="s">
        <v>19</v>
      </c>
      <c r="E15" s="9" t="s">
        <v>182</v>
      </c>
      <c r="F15" s="9" t="s">
        <v>183</v>
      </c>
      <c r="G15" s="9" t="s">
        <v>184</v>
      </c>
      <c r="H15" s="9" t="s">
        <v>185</v>
      </c>
      <c r="I15" s="9" t="s">
        <v>186</v>
      </c>
      <c r="J15" s="9"/>
      <c r="K15" s="9" t="s">
        <v>187</v>
      </c>
      <c r="L15" s="9" t="s">
        <v>177</v>
      </c>
      <c r="M15" s="9" t="s">
        <v>177</v>
      </c>
      <c r="N15" s="8" t="s">
        <v>53</v>
      </c>
      <c r="O15" s="9" t="s">
        <v>188</v>
      </c>
      <c r="P15" s="9" t="s">
        <v>189</v>
      </c>
      <c r="Q15" s="9" t="s">
        <v>190</v>
      </c>
      <c r="R15" s="9" t="s">
        <v>8</v>
      </c>
      <c r="S15" s="10" t="n">
        <v>46291</v>
      </c>
      <c r="T15" s="8" t="s">
        <v>68</v>
      </c>
      <c r="U15" s="10" t="n">
        <v>46291</v>
      </c>
      <c r="V15" s="9"/>
    </row>
    <row r="16" customFormat="false" ht="34.5" hidden="false" customHeight="true" outlineLevel="0" collapsed="false">
      <c r="A16" s="8" t="n">
        <v>15</v>
      </c>
      <c r="B16" s="8" t="s">
        <v>170</v>
      </c>
      <c r="C16" s="8" t="s">
        <v>191</v>
      </c>
      <c r="D16" s="9" t="s">
        <v>19</v>
      </c>
      <c r="E16" s="9" t="s">
        <v>192</v>
      </c>
      <c r="F16" s="9" t="s">
        <v>193</v>
      </c>
      <c r="G16" s="9" t="s">
        <v>194</v>
      </c>
      <c r="H16" s="9" t="s">
        <v>148</v>
      </c>
      <c r="I16" s="9" t="s">
        <v>195</v>
      </c>
      <c r="J16" s="9"/>
      <c r="K16" s="9" t="s">
        <v>196</v>
      </c>
      <c r="L16" s="9" t="s">
        <v>177</v>
      </c>
      <c r="M16" s="9" t="s">
        <v>177</v>
      </c>
      <c r="N16" s="8" t="s">
        <v>88</v>
      </c>
      <c r="O16" s="9" t="s">
        <v>197</v>
      </c>
      <c r="P16" s="9" t="s">
        <v>198</v>
      </c>
      <c r="Q16" s="9" t="s">
        <v>199</v>
      </c>
      <c r="R16" s="9" t="s">
        <v>8</v>
      </c>
      <c r="S16" s="10" t="n">
        <v>46291</v>
      </c>
      <c r="T16" s="8" t="s">
        <v>68</v>
      </c>
      <c r="U16" s="10" t="n">
        <v>46291</v>
      </c>
      <c r="V16" s="9"/>
    </row>
    <row r="17" customFormat="false" ht="34.5" hidden="false" customHeight="true" outlineLevel="0" collapsed="false">
      <c r="A17" s="8" t="n">
        <v>16</v>
      </c>
      <c r="B17" s="8" t="s">
        <v>170</v>
      </c>
      <c r="C17" s="8" t="s">
        <v>191</v>
      </c>
      <c r="D17" s="9" t="s">
        <v>22</v>
      </c>
      <c r="E17" s="9" t="s">
        <v>200</v>
      </c>
      <c r="F17" s="9" t="s">
        <v>94</v>
      </c>
      <c r="G17" s="9" t="s">
        <v>201</v>
      </c>
      <c r="H17" s="9" t="s">
        <v>202</v>
      </c>
      <c r="I17" s="9" t="s">
        <v>203</v>
      </c>
      <c r="J17" s="9" t="s">
        <v>204</v>
      </c>
      <c r="K17" s="9" t="s">
        <v>205</v>
      </c>
      <c r="L17" s="9" t="s">
        <v>177</v>
      </c>
      <c r="M17" s="9" t="s">
        <v>177</v>
      </c>
      <c r="N17" s="8" t="s">
        <v>53</v>
      </c>
      <c r="O17" s="9" t="s">
        <v>76</v>
      </c>
      <c r="P17" s="9" t="s">
        <v>99</v>
      </c>
      <c r="Q17" s="9" t="s">
        <v>78</v>
      </c>
      <c r="R17" s="9" t="s">
        <v>8</v>
      </c>
      <c r="S17" s="10" t="n">
        <v>46291</v>
      </c>
      <c r="T17" s="8" t="s">
        <v>68</v>
      </c>
      <c r="U17" s="10" t="n">
        <v>46291</v>
      </c>
      <c r="V17" s="9" t="s">
        <v>79</v>
      </c>
    </row>
    <row r="18" customFormat="false" ht="34.5" hidden="false" customHeight="true" outlineLevel="0" collapsed="false">
      <c r="A18" s="8" t="n">
        <v>17</v>
      </c>
      <c r="B18" s="8" t="s">
        <v>206</v>
      </c>
      <c r="C18" s="8" t="s">
        <v>207</v>
      </c>
      <c r="D18" s="9" t="s">
        <v>19</v>
      </c>
      <c r="E18" s="9" t="s">
        <v>208</v>
      </c>
      <c r="F18" s="9" t="s">
        <v>209</v>
      </c>
      <c r="G18" s="9" t="s">
        <v>210</v>
      </c>
      <c r="H18" s="9" t="s">
        <v>116</v>
      </c>
      <c r="I18" s="9" t="s">
        <v>211</v>
      </c>
      <c r="J18" s="9"/>
      <c r="K18" s="9"/>
      <c r="L18" s="9" t="s">
        <v>64</v>
      </c>
      <c r="M18" s="9" t="s">
        <v>64</v>
      </c>
      <c r="N18" s="8" t="s">
        <v>53</v>
      </c>
      <c r="O18" s="9" t="s">
        <v>212</v>
      </c>
      <c r="P18" s="9" t="s">
        <v>213</v>
      </c>
      <c r="Q18" s="9" t="s">
        <v>214</v>
      </c>
      <c r="R18" s="9" t="s">
        <v>10</v>
      </c>
      <c r="S18" s="10" t="n">
        <v>46291</v>
      </c>
      <c r="T18" s="8" t="s">
        <v>57</v>
      </c>
      <c r="U18" s="10"/>
      <c r="V18" s="9" t="s">
        <v>58</v>
      </c>
    </row>
    <row r="19" customFormat="false" ht="34.5" hidden="false" customHeight="true" outlineLevel="0" collapsed="false">
      <c r="A19" s="8" t="n">
        <v>18</v>
      </c>
      <c r="B19" s="8" t="s">
        <v>206</v>
      </c>
      <c r="C19" s="8" t="s">
        <v>207</v>
      </c>
      <c r="D19" s="9" t="s">
        <v>19</v>
      </c>
      <c r="E19" s="9" t="s">
        <v>215</v>
      </c>
      <c r="F19" s="9" t="s">
        <v>216</v>
      </c>
      <c r="G19" s="9" t="s">
        <v>217</v>
      </c>
      <c r="H19" s="9" t="s">
        <v>218</v>
      </c>
      <c r="I19" s="9" t="s">
        <v>219</v>
      </c>
      <c r="J19" s="9"/>
      <c r="K19" s="9"/>
      <c r="L19" s="9" t="s">
        <v>220</v>
      </c>
      <c r="M19" s="9" t="s">
        <v>220</v>
      </c>
      <c r="N19" s="8" t="s">
        <v>53</v>
      </c>
      <c r="O19" s="9" t="s">
        <v>221</v>
      </c>
      <c r="P19" s="9" t="s">
        <v>222</v>
      </c>
      <c r="Q19" s="9" t="s">
        <v>223</v>
      </c>
      <c r="R19" s="9" t="s">
        <v>8</v>
      </c>
      <c r="S19" s="10" t="n">
        <v>46291</v>
      </c>
      <c r="T19" s="8" t="s">
        <v>224</v>
      </c>
      <c r="U19" s="10"/>
      <c r="V19" s="9" t="s">
        <v>225</v>
      </c>
    </row>
    <row r="20" customFormat="false" ht="34.5" hidden="false" customHeight="true" outlineLevel="0" collapsed="false">
      <c r="A20" s="8" t="n">
        <v>19</v>
      </c>
      <c r="B20" s="8" t="s">
        <v>206</v>
      </c>
      <c r="C20" s="8" t="s">
        <v>207</v>
      </c>
      <c r="D20" s="9" t="s">
        <v>19</v>
      </c>
      <c r="E20" s="9" t="s">
        <v>226</v>
      </c>
      <c r="F20" s="9" t="s">
        <v>227</v>
      </c>
      <c r="G20" s="9" t="s">
        <v>228</v>
      </c>
      <c r="H20" s="9" t="s">
        <v>229</v>
      </c>
      <c r="I20" s="9" t="s">
        <v>230</v>
      </c>
      <c r="J20" s="9" t="s">
        <v>231</v>
      </c>
      <c r="K20" s="9" t="s">
        <v>232</v>
      </c>
      <c r="L20" s="9" t="s">
        <v>233</v>
      </c>
      <c r="M20" s="9" t="s">
        <v>233</v>
      </c>
      <c r="N20" s="8" t="s">
        <v>53</v>
      </c>
      <c r="O20" s="9" t="s">
        <v>234</v>
      </c>
      <c r="P20" s="9" t="s">
        <v>235</v>
      </c>
      <c r="Q20" s="9" t="s">
        <v>143</v>
      </c>
      <c r="R20" s="9" t="s">
        <v>10</v>
      </c>
      <c r="S20" s="10" t="n">
        <v>46291</v>
      </c>
      <c r="T20" s="8" t="s">
        <v>68</v>
      </c>
      <c r="U20" s="10" t="n">
        <v>46291</v>
      </c>
      <c r="V20" s="9" t="s">
        <v>144</v>
      </c>
    </row>
    <row r="21" customFormat="false" ht="34.5" hidden="false" customHeight="true" outlineLevel="0" collapsed="false">
      <c r="A21" s="8" t="n">
        <v>20</v>
      </c>
      <c r="B21" s="8" t="s">
        <v>236</v>
      </c>
      <c r="C21" s="8" t="s">
        <v>237</v>
      </c>
      <c r="D21" s="9" t="s">
        <v>20</v>
      </c>
      <c r="E21" s="9" t="s">
        <v>238</v>
      </c>
      <c r="F21" s="9" t="s">
        <v>239</v>
      </c>
      <c r="G21" s="9" t="s">
        <v>240</v>
      </c>
      <c r="H21" s="9" t="s">
        <v>241</v>
      </c>
      <c r="I21" s="9" t="s">
        <v>242</v>
      </c>
      <c r="J21" s="9"/>
      <c r="K21" s="9" t="s">
        <v>243</v>
      </c>
      <c r="L21" s="9" t="s">
        <v>244</v>
      </c>
      <c r="M21" s="9" t="s">
        <v>244</v>
      </c>
      <c r="N21" s="8" t="s">
        <v>53</v>
      </c>
      <c r="O21" s="9" t="s">
        <v>245</v>
      </c>
      <c r="P21" s="9" t="s">
        <v>246</v>
      </c>
      <c r="Q21" s="9" t="s">
        <v>247</v>
      </c>
      <c r="R21" s="9" t="s">
        <v>10</v>
      </c>
      <c r="S21" s="10" t="n">
        <v>46291</v>
      </c>
      <c r="T21" s="8" t="s">
        <v>68</v>
      </c>
      <c r="U21" s="10" t="n">
        <v>46291</v>
      </c>
      <c r="V21" s="9"/>
    </row>
    <row r="22" customFormat="false" ht="34.5" hidden="false" customHeight="true" outlineLevel="0" collapsed="false">
      <c r="A22" s="8" t="n">
        <v>21</v>
      </c>
      <c r="B22" s="8" t="s">
        <v>236</v>
      </c>
      <c r="C22" s="8" t="s">
        <v>248</v>
      </c>
      <c r="D22" s="9" t="s">
        <v>19</v>
      </c>
      <c r="E22" s="9" t="s">
        <v>249</v>
      </c>
      <c r="F22" s="9" t="s">
        <v>250</v>
      </c>
      <c r="G22" s="9" t="s">
        <v>251</v>
      </c>
      <c r="H22" s="9" t="s">
        <v>252</v>
      </c>
      <c r="I22" s="9" t="s">
        <v>253</v>
      </c>
      <c r="J22" s="9"/>
      <c r="K22" s="9" t="s">
        <v>254</v>
      </c>
      <c r="L22" s="9" t="s">
        <v>255</v>
      </c>
      <c r="M22" s="9" t="s">
        <v>255</v>
      </c>
      <c r="N22" s="8" t="s">
        <v>53</v>
      </c>
      <c r="O22" s="9" t="s">
        <v>256</v>
      </c>
      <c r="P22" s="9" t="s">
        <v>257</v>
      </c>
      <c r="Q22" s="9" t="s">
        <v>258</v>
      </c>
      <c r="R22" s="9" t="s">
        <v>8</v>
      </c>
      <c r="S22" s="10" t="n">
        <v>46291</v>
      </c>
      <c r="T22" s="8" t="s">
        <v>68</v>
      </c>
      <c r="U22" s="10" t="n">
        <v>46291</v>
      </c>
      <c r="V22" s="9"/>
    </row>
    <row r="23" customFormat="false" ht="34.5" hidden="false" customHeight="true" outlineLevel="0" collapsed="false">
      <c r="A23" s="8" t="n">
        <v>22</v>
      </c>
      <c r="B23" s="8" t="s">
        <v>236</v>
      </c>
      <c r="C23" s="8" t="s">
        <v>259</v>
      </c>
      <c r="D23" s="9" t="s">
        <v>22</v>
      </c>
      <c r="E23" s="9" t="s">
        <v>260</v>
      </c>
      <c r="F23" s="9" t="s">
        <v>261</v>
      </c>
      <c r="G23" s="9" t="s">
        <v>262</v>
      </c>
      <c r="H23" s="9" t="s">
        <v>72</v>
      </c>
      <c r="I23" s="9" t="s">
        <v>263</v>
      </c>
      <c r="J23" s="9"/>
      <c r="K23" s="9" t="s">
        <v>264</v>
      </c>
      <c r="L23" s="9" t="s">
        <v>265</v>
      </c>
      <c r="M23" s="9" t="s">
        <v>265</v>
      </c>
      <c r="N23" s="8" t="s">
        <v>88</v>
      </c>
      <c r="O23" s="9" t="s">
        <v>76</v>
      </c>
      <c r="P23" s="9" t="s">
        <v>266</v>
      </c>
      <c r="Q23" s="9" t="s">
        <v>78</v>
      </c>
      <c r="R23" s="9" t="s">
        <v>10</v>
      </c>
      <c r="S23" s="10" t="n">
        <v>46291</v>
      </c>
      <c r="T23" s="8" t="s">
        <v>68</v>
      </c>
      <c r="U23" s="10" t="n">
        <v>46291</v>
      </c>
      <c r="V23" s="9" t="s">
        <v>79</v>
      </c>
    </row>
    <row r="24" customFormat="false" ht="34.5" hidden="false" customHeight="true" outlineLevel="0" collapsed="false">
      <c r="A24" s="8" t="n">
        <v>23</v>
      </c>
      <c r="B24" s="8" t="s">
        <v>267</v>
      </c>
      <c r="C24" s="8" t="s">
        <v>268</v>
      </c>
      <c r="D24" s="9" t="s">
        <v>21</v>
      </c>
      <c r="E24" s="9" t="s">
        <v>269</v>
      </c>
      <c r="F24" s="9" t="s">
        <v>270</v>
      </c>
      <c r="G24" s="9" t="s">
        <v>271</v>
      </c>
      <c r="H24" s="9" t="s">
        <v>272</v>
      </c>
      <c r="I24" s="9" t="s">
        <v>273</v>
      </c>
      <c r="J24" s="9" t="s">
        <v>274</v>
      </c>
      <c r="K24" s="9"/>
      <c r="L24" s="9" t="s">
        <v>275</v>
      </c>
      <c r="M24" s="9" t="s">
        <v>275</v>
      </c>
      <c r="N24" s="8" t="s">
        <v>53</v>
      </c>
      <c r="O24" s="9" t="s">
        <v>276</v>
      </c>
      <c r="P24" s="9" t="s">
        <v>277</v>
      </c>
      <c r="Q24" s="9" t="s">
        <v>278</v>
      </c>
      <c r="R24" s="9" t="s">
        <v>10</v>
      </c>
      <c r="S24" s="10" t="n">
        <v>46291</v>
      </c>
      <c r="T24" s="8" t="s">
        <v>57</v>
      </c>
      <c r="U24" s="10"/>
      <c r="V24" s="9" t="s">
        <v>58</v>
      </c>
    </row>
    <row r="25" customFormat="false" ht="34.5" hidden="false" customHeight="true" outlineLevel="0" collapsed="false">
      <c r="A25" s="8" t="n">
        <v>24</v>
      </c>
      <c r="B25" s="8" t="s">
        <v>267</v>
      </c>
      <c r="C25" s="8" t="s">
        <v>268</v>
      </c>
      <c r="D25" s="9" t="s">
        <v>21</v>
      </c>
      <c r="E25" s="9" t="s">
        <v>279</v>
      </c>
      <c r="F25" s="9" t="s">
        <v>280</v>
      </c>
      <c r="G25" s="9" t="s">
        <v>281</v>
      </c>
      <c r="H25" s="9" t="s">
        <v>282</v>
      </c>
      <c r="I25" s="9" t="s">
        <v>283</v>
      </c>
      <c r="J25" s="9" t="s">
        <v>284</v>
      </c>
      <c r="K25" s="9" t="s">
        <v>285</v>
      </c>
      <c r="L25" s="9" t="s">
        <v>286</v>
      </c>
      <c r="M25" s="9" t="s">
        <v>286</v>
      </c>
      <c r="N25" s="8" t="s">
        <v>53</v>
      </c>
      <c r="O25" s="9" t="s">
        <v>141</v>
      </c>
      <c r="P25" s="9" t="s">
        <v>287</v>
      </c>
      <c r="Q25" s="9" t="s">
        <v>143</v>
      </c>
      <c r="R25" s="9" t="s">
        <v>8</v>
      </c>
      <c r="S25" s="10" t="n">
        <v>46291</v>
      </c>
      <c r="T25" s="8" t="s">
        <v>68</v>
      </c>
      <c r="U25" s="10" t="n">
        <v>46291</v>
      </c>
      <c r="V25" s="9" t="s">
        <v>144</v>
      </c>
    </row>
    <row r="26" customFormat="false" ht="45.75" hidden="false" customHeight="true" outlineLevel="0" collapsed="false">
      <c r="A26" s="8" t="n">
        <v>25</v>
      </c>
      <c r="B26" s="8" t="s">
        <v>267</v>
      </c>
      <c r="C26" s="8" t="s">
        <v>268</v>
      </c>
      <c r="D26" s="9" t="s">
        <v>20</v>
      </c>
      <c r="E26" s="9" t="s">
        <v>288</v>
      </c>
      <c r="F26" s="9" t="s">
        <v>289</v>
      </c>
      <c r="G26" s="9" t="s">
        <v>290</v>
      </c>
      <c r="H26" s="9" t="s">
        <v>291</v>
      </c>
      <c r="I26" s="9" t="s">
        <v>292</v>
      </c>
      <c r="J26" s="9"/>
      <c r="K26" s="9" t="s">
        <v>293</v>
      </c>
      <c r="L26" s="9" t="s">
        <v>294</v>
      </c>
      <c r="M26" s="9" t="s">
        <v>294</v>
      </c>
      <c r="N26" s="8" t="s">
        <v>53</v>
      </c>
      <c r="O26" s="9" t="s">
        <v>295</v>
      </c>
      <c r="P26" s="9" t="s">
        <v>296</v>
      </c>
      <c r="Q26" s="9" t="s">
        <v>297</v>
      </c>
      <c r="R26" s="9" t="s">
        <v>10</v>
      </c>
      <c r="S26" s="10" t="n">
        <v>46291</v>
      </c>
      <c r="T26" s="8" t="s">
        <v>224</v>
      </c>
      <c r="U26" s="10"/>
      <c r="V26" s="9" t="s">
        <v>298</v>
      </c>
    </row>
    <row r="27" customFormat="false" ht="34.5" hidden="false" customHeight="true" outlineLevel="0" collapsed="false">
      <c r="A27" s="8" t="n">
        <v>26</v>
      </c>
      <c r="B27" s="8" t="s">
        <v>267</v>
      </c>
      <c r="C27" s="8" t="s">
        <v>299</v>
      </c>
      <c r="D27" s="9" t="s">
        <v>19</v>
      </c>
      <c r="E27" s="9" t="s">
        <v>300</v>
      </c>
      <c r="F27" s="9" t="s">
        <v>301</v>
      </c>
      <c r="G27" s="9" t="s">
        <v>302</v>
      </c>
      <c r="H27" s="9" t="s">
        <v>303</v>
      </c>
      <c r="I27" s="9" t="s">
        <v>304</v>
      </c>
      <c r="J27" s="9"/>
      <c r="K27" s="9" t="s">
        <v>305</v>
      </c>
      <c r="L27" s="9" t="s">
        <v>306</v>
      </c>
      <c r="M27" s="9" t="s">
        <v>306</v>
      </c>
      <c r="N27" s="8" t="s">
        <v>53</v>
      </c>
      <c r="O27" s="9" t="s">
        <v>307</v>
      </c>
      <c r="P27" s="9" t="s">
        <v>308</v>
      </c>
      <c r="Q27" s="9" t="s">
        <v>309</v>
      </c>
      <c r="R27" s="9" t="s">
        <v>8</v>
      </c>
      <c r="S27" s="10" t="n">
        <v>46291</v>
      </c>
      <c r="T27" s="8" t="s">
        <v>57</v>
      </c>
      <c r="U27" s="10"/>
      <c r="V27" s="9" t="s">
        <v>58</v>
      </c>
    </row>
    <row r="28" customFormat="false" ht="34.5" hidden="false" customHeight="true" outlineLevel="0" collapsed="false">
      <c r="A28" s="8" t="n">
        <v>27</v>
      </c>
      <c r="B28" s="8" t="s">
        <v>267</v>
      </c>
      <c r="C28" s="8" t="s">
        <v>299</v>
      </c>
      <c r="D28" s="9" t="s">
        <v>22</v>
      </c>
      <c r="E28" s="9" t="s">
        <v>310</v>
      </c>
      <c r="F28" s="9" t="s">
        <v>311</v>
      </c>
      <c r="G28" s="9" t="s">
        <v>311</v>
      </c>
      <c r="H28" s="9" t="s">
        <v>72</v>
      </c>
      <c r="I28" s="9" t="s">
        <v>312</v>
      </c>
      <c r="J28" s="9" t="s">
        <v>313</v>
      </c>
      <c r="K28" s="9" t="s">
        <v>314</v>
      </c>
      <c r="L28" s="9" t="s">
        <v>315</v>
      </c>
      <c r="M28" s="9" t="s">
        <v>315</v>
      </c>
      <c r="N28" s="8" t="s">
        <v>53</v>
      </c>
      <c r="O28" s="9" t="s">
        <v>76</v>
      </c>
      <c r="P28" s="9" t="s">
        <v>316</v>
      </c>
      <c r="Q28" s="9" t="s">
        <v>78</v>
      </c>
      <c r="R28" s="9" t="s">
        <v>10</v>
      </c>
      <c r="S28" s="10" t="n">
        <v>46291</v>
      </c>
      <c r="T28" s="8" t="s">
        <v>68</v>
      </c>
      <c r="U28" s="10" t="n">
        <v>46291</v>
      </c>
      <c r="V28" s="9" t="s">
        <v>79</v>
      </c>
    </row>
    <row r="29" customFormat="false" ht="34.5" hidden="false" customHeight="true" outlineLevel="0" collapsed="false">
      <c r="A29" s="8" t="n">
        <v>28</v>
      </c>
      <c r="B29" s="8" t="s">
        <v>317</v>
      </c>
      <c r="C29" s="8" t="s">
        <v>318</v>
      </c>
      <c r="D29" s="9" t="s">
        <v>21</v>
      </c>
      <c r="E29" s="9" t="s">
        <v>319</v>
      </c>
      <c r="F29" s="9" t="s">
        <v>320</v>
      </c>
      <c r="G29" s="9" t="s">
        <v>321</v>
      </c>
      <c r="H29" s="9" t="s">
        <v>322</v>
      </c>
      <c r="I29" s="9" t="s">
        <v>323</v>
      </c>
      <c r="J29" s="9"/>
      <c r="K29" s="9"/>
      <c r="L29" s="9" t="s">
        <v>324</v>
      </c>
      <c r="M29" s="9" t="s">
        <v>324</v>
      </c>
      <c r="N29" s="8" t="s">
        <v>53</v>
      </c>
      <c r="O29" s="9" t="s">
        <v>325</v>
      </c>
      <c r="P29" s="9" t="s">
        <v>326</v>
      </c>
      <c r="Q29" s="9" t="s">
        <v>327</v>
      </c>
      <c r="R29" s="9" t="s">
        <v>8</v>
      </c>
      <c r="S29" s="10" t="n">
        <v>46291</v>
      </c>
      <c r="T29" s="8" t="s">
        <v>68</v>
      </c>
      <c r="U29" s="10" t="n">
        <v>46291</v>
      </c>
      <c r="V29" s="9"/>
    </row>
    <row r="30" customFormat="false" ht="34.5" hidden="false" customHeight="true" outlineLevel="0" collapsed="false">
      <c r="A30" s="8" t="n">
        <v>29</v>
      </c>
      <c r="B30" s="8" t="s">
        <v>317</v>
      </c>
      <c r="C30" s="8" t="s">
        <v>328</v>
      </c>
      <c r="D30" s="9" t="s">
        <v>21</v>
      </c>
      <c r="E30" s="9" t="s">
        <v>329</v>
      </c>
      <c r="F30" s="9" t="s">
        <v>330</v>
      </c>
      <c r="G30" s="9" t="s">
        <v>330</v>
      </c>
      <c r="H30" s="9" t="s">
        <v>331</v>
      </c>
      <c r="I30" s="9" t="s">
        <v>332</v>
      </c>
      <c r="J30" s="9"/>
      <c r="K30" s="9" t="s">
        <v>333</v>
      </c>
      <c r="L30" s="9" t="s">
        <v>334</v>
      </c>
      <c r="M30" s="9" t="s">
        <v>334</v>
      </c>
      <c r="N30" s="8" t="s">
        <v>88</v>
      </c>
      <c r="O30" s="9" t="s">
        <v>335</v>
      </c>
      <c r="P30" s="9" t="s">
        <v>336</v>
      </c>
      <c r="Q30" s="9" t="s">
        <v>337</v>
      </c>
      <c r="R30" s="9" t="s">
        <v>10</v>
      </c>
      <c r="S30" s="10" t="n">
        <v>46291</v>
      </c>
      <c r="T30" s="8" t="s">
        <v>68</v>
      </c>
      <c r="U30" s="10" t="n">
        <v>46291</v>
      </c>
      <c r="V30" s="9"/>
    </row>
    <row r="31" customFormat="false" ht="34.5" hidden="false" customHeight="true" outlineLevel="0" collapsed="false">
      <c r="A31" s="8" t="n">
        <v>30</v>
      </c>
      <c r="B31" s="8" t="s">
        <v>317</v>
      </c>
      <c r="C31" s="8" t="s">
        <v>338</v>
      </c>
      <c r="D31" s="9" t="s">
        <v>20</v>
      </c>
      <c r="E31" s="9" t="s">
        <v>339</v>
      </c>
      <c r="F31" s="9" t="s">
        <v>340</v>
      </c>
      <c r="G31" s="9" t="s">
        <v>341</v>
      </c>
      <c r="H31" s="9" t="s">
        <v>342</v>
      </c>
      <c r="I31" s="9" t="s">
        <v>343</v>
      </c>
      <c r="J31" s="9"/>
      <c r="K31" s="9"/>
      <c r="L31" s="9" t="s">
        <v>344</v>
      </c>
      <c r="M31" s="9" t="s">
        <v>344</v>
      </c>
      <c r="N31" s="8" t="s">
        <v>53</v>
      </c>
      <c r="O31" s="9" t="s">
        <v>345</v>
      </c>
      <c r="P31" s="9" t="s">
        <v>346</v>
      </c>
      <c r="Q31" s="9" t="s">
        <v>143</v>
      </c>
      <c r="R31" s="9" t="s">
        <v>10</v>
      </c>
      <c r="S31" s="10" t="n">
        <v>46291</v>
      </c>
      <c r="T31" s="8" t="s">
        <v>68</v>
      </c>
      <c r="U31" s="10" t="n">
        <v>46291</v>
      </c>
      <c r="V31" s="9" t="s">
        <v>144</v>
      </c>
    </row>
    <row r="32" customFormat="false" ht="34.5" hidden="false" customHeight="true" outlineLevel="0" collapsed="false">
      <c r="A32" s="8" t="n">
        <v>31</v>
      </c>
      <c r="B32" s="8" t="s">
        <v>317</v>
      </c>
      <c r="C32" s="8" t="s">
        <v>347</v>
      </c>
      <c r="D32" s="9" t="s">
        <v>22</v>
      </c>
      <c r="E32" s="9" t="s">
        <v>348</v>
      </c>
      <c r="F32" s="9" t="s">
        <v>349</v>
      </c>
      <c r="G32" s="9" t="s">
        <v>350</v>
      </c>
      <c r="H32" s="9" t="s">
        <v>351</v>
      </c>
      <c r="I32" s="9" t="s">
        <v>352</v>
      </c>
      <c r="J32" s="9"/>
      <c r="K32" s="9" t="s">
        <v>353</v>
      </c>
      <c r="L32" s="9" t="s">
        <v>354</v>
      </c>
      <c r="M32" s="9" t="s">
        <v>354</v>
      </c>
      <c r="N32" s="8" t="s">
        <v>53</v>
      </c>
      <c r="O32" s="9" t="s">
        <v>76</v>
      </c>
      <c r="P32" s="9" t="s">
        <v>355</v>
      </c>
      <c r="Q32" s="9" t="s">
        <v>78</v>
      </c>
      <c r="R32" s="9" t="s">
        <v>8</v>
      </c>
      <c r="S32" s="10" t="n">
        <v>46291</v>
      </c>
      <c r="T32" s="8" t="s">
        <v>68</v>
      </c>
      <c r="U32" s="10" t="n">
        <v>46291</v>
      </c>
      <c r="V32" s="9" t="s">
        <v>79</v>
      </c>
    </row>
    <row r="33" customFormat="false" ht="34.5" hidden="false" customHeight="true" outlineLevel="0" collapsed="false">
      <c r="A33" s="8" t="n">
        <v>32</v>
      </c>
      <c r="B33" s="8" t="s">
        <v>356</v>
      </c>
      <c r="C33" s="8" t="s">
        <v>357</v>
      </c>
      <c r="D33" s="9" t="s">
        <v>19</v>
      </c>
      <c r="E33" s="9" t="s">
        <v>358</v>
      </c>
      <c r="F33" s="9" t="s">
        <v>359</v>
      </c>
      <c r="G33" s="9" t="s">
        <v>360</v>
      </c>
      <c r="H33" s="9" t="s">
        <v>361</v>
      </c>
      <c r="I33" s="9" t="s">
        <v>362</v>
      </c>
      <c r="J33" s="9"/>
      <c r="K33" s="9"/>
      <c r="L33" s="9" t="s">
        <v>363</v>
      </c>
      <c r="M33" s="9" t="s">
        <v>363</v>
      </c>
      <c r="N33" s="8" t="s">
        <v>53</v>
      </c>
      <c r="O33" s="9" t="s">
        <v>364</v>
      </c>
      <c r="P33" s="9" t="s">
        <v>365</v>
      </c>
      <c r="Q33" s="9" t="s">
        <v>366</v>
      </c>
      <c r="R33" s="9" t="s">
        <v>8</v>
      </c>
      <c r="S33" s="10" t="n">
        <v>46291</v>
      </c>
      <c r="T33" s="8" t="s">
        <v>68</v>
      </c>
      <c r="U33" s="10" t="n">
        <v>46291</v>
      </c>
      <c r="V33" s="9"/>
    </row>
    <row r="34" customFormat="false" ht="34.5" hidden="false" customHeight="true" outlineLevel="0" collapsed="false">
      <c r="A34" s="8" t="n">
        <v>33</v>
      </c>
      <c r="B34" s="8" t="s">
        <v>356</v>
      </c>
      <c r="C34" s="8" t="s">
        <v>367</v>
      </c>
      <c r="D34" s="9" t="s">
        <v>22</v>
      </c>
      <c r="E34" s="9" t="s">
        <v>368</v>
      </c>
      <c r="F34" s="9" t="s">
        <v>369</v>
      </c>
      <c r="G34" s="9" t="s">
        <v>370</v>
      </c>
      <c r="H34" s="9" t="s">
        <v>72</v>
      </c>
      <c r="I34" s="9" t="s">
        <v>371</v>
      </c>
      <c r="J34" s="9"/>
      <c r="K34" s="9" t="s">
        <v>372</v>
      </c>
      <c r="L34" s="9" t="s">
        <v>373</v>
      </c>
      <c r="M34" s="9" t="s">
        <v>373</v>
      </c>
      <c r="N34" s="8" t="s">
        <v>88</v>
      </c>
      <c r="O34" s="9" t="s">
        <v>76</v>
      </c>
      <c r="P34" s="9" t="s">
        <v>374</v>
      </c>
      <c r="Q34" s="9" t="s">
        <v>78</v>
      </c>
      <c r="R34" s="9" t="s">
        <v>10</v>
      </c>
      <c r="S34" s="10" t="n">
        <v>46291</v>
      </c>
      <c r="T34" s="8" t="s">
        <v>68</v>
      </c>
      <c r="U34" s="10" t="n">
        <v>46291</v>
      </c>
      <c r="V34" s="9" t="s">
        <v>79</v>
      </c>
    </row>
    <row r="35" customFormat="false" ht="34.5" hidden="false" customHeight="true" outlineLevel="0" collapsed="false">
      <c r="A35" s="8" t="n">
        <v>34</v>
      </c>
      <c r="B35" s="8" t="s">
        <v>375</v>
      </c>
      <c r="C35" s="8" t="s">
        <v>376</v>
      </c>
      <c r="D35" s="9" t="s">
        <v>21</v>
      </c>
      <c r="E35" s="9" t="s">
        <v>377</v>
      </c>
      <c r="F35" s="9" t="s">
        <v>378</v>
      </c>
      <c r="G35" s="9" t="s">
        <v>379</v>
      </c>
      <c r="H35" s="9" t="s">
        <v>380</v>
      </c>
      <c r="I35" s="9" t="s">
        <v>381</v>
      </c>
      <c r="J35" s="9"/>
      <c r="K35" s="9"/>
      <c r="L35" s="9" t="s">
        <v>382</v>
      </c>
      <c r="M35" s="9" t="s">
        <v>382</v>
      </c>
      <c r="N35" s="8" t="s">
        <v>383</v>
      </c>
      <c r="O35" s="9" t="s">
        <v>384</v>
      </c>
      <c r="P35" s="9" t="s">
        <v>385</v>
      </c>
      <c r="Q35" s="9" t="s">
        <v>386</v>
      </c>
      <c r="R35" s="9" t="s">
        <v>8</v>
      </c>
      <c r="S35" s="10" t="n">
        <v>46291</v>
      </c>
      <c r="T35" s="8" t="s">
        <v>224</v>
      </c>
      <c r="U35" s="10"/>
      <c r="V35" s="9" t="s">
        <v>387</v>
      </c>
    </row>
    <row r="36" customFormat="false" ht="34.5" hidden="false" customHeight="true" outlineLevel="0" collapsed="false">
      <c r="A36" s="8" t="n">
        <v>35</v>
      </c>
      <c r="B36" s="8" t="s">
        <v>375</v>
      </c>
      <c r="C36" s="8" t="s">
        <v>388</v>
      </c>
      <c r="D36" s="9" t="s">
        <v>21</v>
      </c>
      <c r="E36" s="9" t="s">
        <v>389</v>
      </c>
      <c r="F36" s="9" t="s">
        <v>390</v>
      </c>
      <c r="G36" s="9" t="s">
        <v>391</v>
      </c>
      <c r="H36" s="9" t="s">
        <v>380</v>
      </c>
      <c r="I36" s="9" t="s">
        <v>392</v>
      </c>
      <c r="J36" s="9" t="s">
        <v>393</v>
      </c>
      <c r="K36" s="9" t="s">
        <v>394</v>
      </c>
      <c r="L36" s="9" t="s">
        <v>395</v>
      </c>
      <c r="M36" s="9" t="s">
        <v>395</v>
      </c>
      <c r="N36" s="8" t="s">
        <v>53</v>
      </c>
      <c r="O36" s="9" t="s">
        <v>396</v>
      </c>
      <c r="P36" s="9" t="s">
        <v>397</v>
      </c>
      <c r="Q36" s="9" t="s">
        <v>398</v>
      </c>
      <c r="R36" s="9" t="s">
        <v>8</v>
      </c>
      <c r="S36" s="10" t="n">
        <v>46291</v>
      </c>
      <c r="T36" s="8" t="s">
        <v>68</v>
      </c>
      <c r="U36" s="10" t="n">
        <v>46291</v>
      </c>
      <c r="V36" s="9"/>
    </row>
    <row r="37" customFormat="false" ht="45.75" hidden="false" customHeight="true" outlineLevel="0" collapsed="false">
      <c r="A37" s="8" t="n">
        <v>36</v>
      </c>
      <c r="B37" s="8" t="s">
        <v>375</v>
      </c>
      <c r="C37" s="8" t="s">
        <v>376</v>
      </c>
      <c r="D37" s="9" t="s">
        <v>20</v>
      </c>
      <c r="E37" s="9" t="s">
        <v>399</v>
      </c>
      <c r="F37" s="9" t="s">
        <v>400</v>
      </c>
      <c r="G37" s="9" t="s">
        <v>401</v>
      </c>
      <c r="H37" s="9" t="s">
        <v>402</v>
      </c>
      <c r="I37" s="9" t="s">
        <v>403</v>
      </c>
      <c r="J37" s="9"/>
      <c r="K37" s="9"/>
      <c r="L37" s="9" t="s">
        <v>404</v>
      </c>
      <c r="M37" s="9" t="s">
        <v>404</v>
      </c>
      <c r="N37" s="8" t="s">
        <v>53</v>
      </c>
      <c r="O37" s="9" t="s">
        <v>405</v>
      </c>
      <c r="P37" s="9" t="s">
        <v>406</v>
      </c>
      <c r="Q37" s="9" t="s">
        <v>407</v>
      </c>
      <c r="R37" s="9" t="s">
        <v>8</v>
      </c>
      <c r="S37" s="10" t="n">
        <v>46291</v>
      </c>
      <c r="T37" s="8" t="s">
        <v>68</v>
      </c>
      <c r="U37" s="10" t="n">
        <v>46291</v>
      </c>
      <c r="V37" s="9"/>
    </row>
    <row r="38" customFormat="false" ht="34.5" hidden="false" customHeight="true" outlineLevel="0" collapsed="false">
      <c r="A38" s="8" t="n">
        <v>37</v>
      </c>
      <c r="B38" s="8" t="s">
        <v>375</v>
      </c>
      <c r="C38" s="8" t="s">
        <v>408</v>
      </c>
      <c r="D38" s="9" t="s">
        <v>19</v>
      </c>
      <c r="E38" s="9" t="s">
        <v>409</v>
      </c>
      <c r="F38" s="9" t="s">
        <v>410</v>
      </c>
      <c r="G38" s="9" t="s">
        <v>411</v>
      </c>
      <c r="H38" s="9" t="s">
        <v>116</v>
      </c>
      <c r="I38" s="9" t="s">
        <v>412</v>
      </c>
      <c r="J38" s="9"/>
      <c r="K38" s="9" t="s">
        <v>413</v>
      </c>
      <c r="L38" s="9" t="s">
        <v>414</v>
      </c>
      <c r="M38" s="9" t="s">
        <v>414</v>
      </c>
      <c r="N38" s="8" t="s">
        <v>88</v>
      </c>
      <c r="O38" s="9" t="s">
        <v>415</v>
      </c>
      <c r="P38" s="9" t="s">
        <v>416</v>
      </c>
      <c r="Q38" s="9" t="s">
        <v>417</v>
      </c>
      <c r="R38" s="9" t="s">
        <v>10</v>
      </c>
      <c r="S38" s="10" t="n">
        <v>46291</v>
      </c>
      <c r="T38" s="8" t="s">
        <v>68</v>
      </c>
      <c r="U38" s="10" t="n">
        <v>46291</v>
      </c>
      <c r="V38" s="9"/>
    </row>
    <row r="39" customFormat="false" ht="34.5" hidden="false" customHeight="true" outlineLevel="0" collapsed="false">
      <c r="A39" s="8" t="n">
        <v>38</v>
      </c>
      <c r="B39" s="8" t="s">
        <v>375</v>
      </c>
      <c r="C39" s="8" t="s">
        <v>388</v>
      </c>
      <c r="D39" s="9" t="s">
        <v>19</v>
      </c>
      <c r="E39" s="9" t="s">
        <v>418</v>
      </c>
      <c r="F39" s="9" t="s">
        <v>419</v>
      </c>
      <c r="G39" s="9" t="s">
        <v>420</v>
      </c>
      <c r="H39" s="9" t="s">
        <v>421</v>
      </c>
      <c r="I39" s="9" t="s">
        <v>422</v>
      </c>
      <c r="J39" s="9" t="s">
        <v>423</v>
      </c>
      <c r="K39" s="9" t="s">
        <v>424</v>
      </c>
      <c r="L39" s="9" t="s">
        <v>425</v>
      </c>
      <c r="M39" s="9" t="s">
        <v>425</v>
      </c>
      <c r="N39" s="8" t="s">
        <v>53</v>
      </c>
      <c r="O39" s="9" t="s">
        <v>426</v>
      </c>
      <c r="P39" s="9" t="s">
        <v>427</v>
      </c>
      <c r="Q39" s="9" t="s">
        <v>428</v>
      </c>
      <c r="R39" s="9" t="s">
        <v>8</v>
      </c>
      <c r="S39" s="10" t="n">
        <v>46291</v>
      </c>
      <c r="T39" s="8" t="s">
        <v>68</v>
      </c>
      <c r="U39" s="10" t="n">
        <v>46291</v>
      </c>
      <c r="V39" s="9"/>
    </row>
    <row r="40" customFormat="false" ht="34.5" hidden="false" customHeight="true" outlineLevel="0" collapsed="false">
      <c r="A40" s="8" t="n">
        <v>39</v>
      </c>
      <c r="B40" s="8" t="s">
        <v>375</v>
      </c>
      <c r="C40" s="8" t="s">
        <v>429</v>
      </c>
      <c r="D40" s="9" t="s">
        <v>22</v>
      </c>
      <c r="E40" s="9" t="s">
        <v>430</v>
      </c>
      <c r="F40" s="9" t="s">
        <v>431</v>
      </c>
      <c r="G40" s="9" t="s">
        <v>432</v>
      </c>
      <c r="H40" s="9" t="s">
        <v>433</v>
      </c>
      <c r="I40" s="9" t="s">
        <v>434</v>
      </c>
      <c r="J40" s="9"/>
      <c r="K40" s="9" t="s">
        <v>435</v>
      </c>
      <c r="L40" s="9" t="s">
        <v>436</v>
      </c>
      <c r="M40" s="9" t="s">
        <v>436</v>
      </c>
      <c r="N40" s="8" t="s">
        <v>53</v>
      </c>
      <c r="O40" s="9" t="s">
        <v>76</v>
      </c>
      <c r="P40" s="9" t="s">
        <v>437</v>
      </c>
      <c r="Q40" s="9" t="s">
        <v>78</v>
      </c>
      <c r="R40" s="9" t="s">
        <v>10</v>
      </c>
      <c r="S40" s="10" t="n">
        <v>46291</v>
      </c>
      <c r="T40" s="8" t="s">
        <v>68</v>
      </c>
      <c r="U40" s="10" t="n">
        <v>46291</v>
      </c>
      <c r="V40" s="9" t="s">
        <v>79</v>
      </c>
    </row>
    <row r="41" customFormat="false" ht="34.5" hidden="false" customHeight="true" outlineLevel="0" collapsed="false">
      <c r="A41" s="8" t="n">
        <v>40</v>
      </c>
      <c r="B41" s="8" t="s">
        <v>438</v>
      </c>
      <c r="C41" s="8" t="s">
        <v>439</v>
      </c>
      <c r="D41" s="9" t="s">
        <v>20</v>
      </c>
      <c r="E41" s="9" t="s">
        <v>440</v>
      </c>
      <c r="F41" s="9" t="s">
        <v>441</v>
      </c>
      <c r="G41" s="9" t="s">
        <v>442</v>
      </c>
      <c r="H41" s="9" t="s">
        <v>443</v>
      </c>
      <c r="I41" s="9" t="s">
        <v>444</v>
      </c>
      <c r="J41" s="9" t="s">
        <v>445</v>
      </c>
      <c r="K41" s="9" t="s">
        <v>446</v>
      </c>
      <c r="L41" s="9" t="s">
        <v>447</v>
      </c>
      <c r="M41" s="9" t="s">
        <v>447</v>
      </c>
      <c r="N41" s="8" t="s">
        <v>53</v>
      </c>
      <c r="O41" s="9" t="s">
        <v>345</v>
      </c>
      <c r="P41" s="9" t="s">
        <v>448</v>
      </c>
      <c r="Q41" s="9" t="s">
        <v>143</v>
      </c>
      <c r="R41" s="9" t="s">
        <v>8</v>
      </c>
      <c r="S41" s="10" t="n">
        <v>46291</v>
      </c>
      <c r="T41" s="8" t="s">
        <v>57</v>
      </c>
      <c r="U41" s="10"/>
      <c r="V41" s="9" t="s">
        <v>58</v>
      </c>
    </row>
    <row r="42" customFormat="false" ht="34.5" hidden="false" customHeight="true" outlineLevel="0" collapsed="false">
      <c r="A42" s="8" t="n">
        <v>41</v>
      </c>
      <c r="B42" s="8" t="s">
        <v>438</v>
      </c>
      <c r="C42" s="8" t="s">
        <v>449</v>
      </c>
      <c r="D42" s="9" t="s">
        <v>19</v>
      </c>
      <c r="E42" s="9" t="s">
        <v>450</v>
      </c>
      <c r="F42" s="9" t="s">
        <v>390</v>
      </c>
      <c r="G42" s="9" t="s">
        <v>451</v>
      </c>
      <c r="H42" s="9" t="s">
        <v>116</v>
      </c>
      <c r="I42" s="9" t="s">
        <v>452</v>
      </c>
      <c r="J42" s="9"/>
      <c r="K42" s="9" t="s">
        <v>453</v>
      </c>
      <c r="L42" s="9" t="s">
        <v>454</v>
      </c>
      <c r="M42" s="9" t="s">
        <v>454</v>
      </c>
      <c r="N42" s="8" t="s">
        <v>53</v>
      </c>
      <c r="O42" s="9" t="s">
        <v>455</v>
      </c>
      <c r="P42" s="9" t="s">
        <v>397</v>
      </c>
      <c r="Q42" s="9" t="s">
        <v>456</v>
      </c>
      <c r="R42" s="9" t="s">
        <v>10</v>
      </c>
      <c r="S42" s="10" t="n">
        <v>46291</v>
      </c>
      <c r="T42" s="8" t="s">
        <v>68</v>
      </c>
      <c r="U42" s="10" t="n">
        <v>46291</v>
      </c>
      <c r="V42" s="9"/>
    </row>
    <row r="43" customFormat="false" ht="34.5" hidden="false" customHeight="true" outlineLevel="0" collapsed="false">
      <c r="A43" s="8" t="n">
        <v>42</v>
      </c>
      <c r="B43" s="8" t="s">
        <v>438</v>
      </c>
      <c r="C43" s="8" t="s">
        <v>457</v>
      </c>
      <c r="D43" s="9" t="s">
        <v>22</v>
      </c>
      <c r="E43" s="9" t="s">
        <v>458</v>
      </c>
      <c r="F43" s="9" t="s">
        <v>94</v>
      </c>
      <c r="G43" s="9" t="s">
        <v>459</v>
      </c>
      <c r="H43" s="9" t="s">
        <v>72</v>
      </c>
      <c r="I43" s="9" t="s">
        <v>460</v>
      </c>
      <c r="J43" s="9"/>
      <c r="K43" s="9" t="s">
        <v>461</v>
      </c>
      <c r="L43" s="9" t="s">
        <v>462</v>
      </c>
      <c r="M43" s="9" t="s">
        <v>462</v>
      </c>
      <c r="N43" s="8" t="s">
        <v>88</v>
      </c>
      <c r="O43" s="9" t="s">
        <v>76</v>
      </c>
      <c r="P43" s="9" t="s">
        <v>99</v>
      </c>
      <c r="Q43" s="9" t="s">
        <v>78</v>
      </c>
      <c r="R43" s="9" t="s">
        <v>10</v>
      </c>
      <c r="S43" s="10" t="n">
        <v>46291</v>
      </c>
      <c r="T43" s="8" t="s">
        <v>68</v>
      </c>
      <c r="U43" s="10" t="n">
        <v>46291</v>
      </c>
      <c r="V43" s="9" t="s">
        <v>79</v>
      </c>
    </row>
    <row r="44" customFormat="false" ht="34.5" hidden="false" customHeight="true" outlineLevel="0" collapsed="false">
      <c r="A44" s="8" t="n">
        <v>43</v>
      </c>
      <c r="B44" s="8" t="s">
        <v>463</v>
      </c>
      <c r="C44" s="8" t="s">
        <v>464</v>
      </c>
      <c r="D44" s="9" t="s">
        <v>21</v>
      </c>
      <c r="E44" s="9" t="s">
        <v>465</v>
      </c>
      <c r="F44" s="9" t="s">
        <v>466</v>
      </c>
      <c r="G44" s="9" t="s">
        <v>467</v>
      </c>
      <c r="H44" s="9" t="s">
        <v>468</v>
      </c>
      <c r="I44" s="9" t="s">
        <v>469</v>
      </c>
      <c r="J44" s="9" t="s">
        <v>470</v>
      </c>
      <c r="K44" s="9" t="s">
        <v>471</v>
      </c>
      <c r="L44" s="9" t="s">
        <v>472</v>
      </c>
      <c r="M44" s="9" t="s">
        <v>472</v>
      </c>
      <c r="N44" s="8" t="s">
        <v>53</v>
      </c>
      <c r="O44" s="9" t="s">
        <v>141</v>
      </c>
      <c r="P44" s="9" t="s">
        <v>473</v>
      </c>
      <c r="Q44" s="9" t="s">
        <v>143</v>
      </c>
      <c r="R44" s="9" t="s">
        <v>8</v>
      </c>
      <c r="S44" s="10" t="n">
        <v>46291</v>
      </c>
      <c r="T44" s="8" t="s">
        <v>68</v>
      </c>
      <c r="U44" s="10" t="n">
        <v>46291</v>
      </c>
      <c r="V44" s="9" t="s">
        <v>144</v>
      </c>
    </row>
    <row r="45" customFormat="false" ht="34.5" hidden="false" customHeight="true" outlineLevel="0" collapsed="false">
      <c r="A45" s="8" t="n">
        <v>44</v>
      </c>
      <c r="B45" s="8" t="s">
        <v>463</v>
      </c>
      <c r="C45" s="8" t="s">
        <v>464</v>
      </c>
      <c r="D45" s="9" t="s">
        <v>21</v>
      </c>
      <c r="E45" s="9" t="s">
        <v>474</v>
      </c>
      <c r="F45" s="9" t="s">
        <v>475</v>
      </c>
      <c r="G45" s="9" t="s">
        <v>476</v>
      </c>
      <c r="H45" s="9" t="s">
        <v>116</v>
      </c>
      <c r="I45" s="9" t="s">
        <v>477</v>
      </c>
      <c r="J45" s="9"/>
      <c r="K45" s="9"/>
      <c r="L45" s="9" t="s">
        <v>478</v>
      </c>
      <c r="M45" s="9" t="s">
        <v>478</v>
      </c>
      <c r="N45" s="8" t="s">
        <v>88</v>
      </c>
      <c r="O45" s="9" t="s">
        <v>479</v>
      </c>
      <c r="P45" s="9" t="s">
        <v>480</v>
      </c>
      <c r="Q45" s="9" t="s">
        <v>481</v>
      </c>
      <c r="R45" s="9" t="s">
        <v>10</v>
      </c>
      <c r="S45" s="10" t="n">
        <v>46291</v>
      </c>
      <c r="T45" s="8" t="s">
        <v>68</v>
      </c>
      <c r="U45" s="10" t="n">
        <v>46291</v>
      </c>
      <c r="V45" s="9"/>
    </row>
    <row r="46" customFormat="false" ht="23.25" hidden="false" customHeight="true" outlineLevel="0" collapsed="false">
      <c r="A46" s="8" t="n">
        <v>45</v>
      </c>
      <c r="B46" s="8" t="s">
        <v>463</v>
      </c>
      <c r="C46" s="8" t="s">
        <v>464</v>
      </c>
      <c r="D46" s="9" t="s">
        <v>21</v>
      </c>
      <c r="E46" s="9" t="s">
        <v>482</v>
      </c>
      <c r="F46" s="9" t="s">
        <v>483</v>
      </c>
      <c r="G46" s="9" t="s">
        <v>484</v>
      </c>
      <c r="H46" s="9" t="s">
        <v>116</v>
      </c>
      <c r="I46" s="9" t="s">
        <v>485</v>
      </c>
      <c r="J46" s="9"/>
      <c r="K46" s="9"/>
      <c r="L46" s="9" t="s">
        <v>64</v>
      </c>
      <c r="M46" s="9" t="s">
        <v>64</v>
      </c>
      <c r="N46" s="8" t="s">
        <v>88</v>
      </c>
      <c r="O46" s="9" t="s">
        <v>486</v>
      </c>
      <c r="P46" s="9" t="s">
        <v>487</v>
      </c>
      <c r="Q46" s="9" t="s">
        <v>488</v>
      </c>
      <c r="R46" s="9" t="s">
        <v>10</v>
      </c>
      <c r="S46" s="10" t="n">
        <v>46291</v>
      </c>
      <c r="T46" s="8" t="s">
        <v>68</v>
      </c>
      <c r="U46" s="10" t="n">
        <v>46291</v>
      </c>
      <c r="V46" s="9"/>
    </row>
    <row r="47" customFormat="false" ht="45.75" hidden="false" customHeight="true" outlineLevel="0" collapsed="false">
      <c r="A47" s="8" t="n">
        <v>46</v>
      </c>
      <c r="B47" s="8" t="s">
        <v>463</v>
      </c>
      <c r="C47" s="8" t="s">
        <v>464</v>
      </c>
      <c r="D47" s="9" t="s">
        <v>21</v>
      </c>
      <c r="E47" s="9" t="s">
        <v>489</v>
      </c>
      <c r="F47" s="9" t="s">
        <v>490</v>
      </c>
      <c r="G47" s="9" t="s">
        <v>491</v>
      </c>
      <c r="H47" s="9" t="s">
        <v>492</v>
      </c>
      <c r="I47" s="9" t="s">
        <v>493</v>
      </c>
      <c r="J47" s="9"/>
      <c r="K47" s="9"/>
      <c r="L47" s="9" t="s">
        <v>494</v>
      </c>
      <c r="M47" s="9" t="s">
        <v>494</v>
      </c>
      <c r="N47" s="8" t="s">
        <v>53</v>
      </c>
      <c r="O47" s="9" t="s">
        <v>495</v>
      </c>
      <c r="P47" s="9" t="s">
        <v>496</v>
      </c>
      <c r="Q47" s="9" t="s">
        <v>497</v>
      </c>
      <c r="R47" s="9" t="s">
        <v>10</v>
      </c>
      <c r="S47" s="10" t="n">
        <v>46291</v>
      </c>
      <c r="T47" s="8" t="s">
        <v>68</v>
      </c>
      <c r="U47" s="10" t="n">
        <v>46291</v>
      </c>
      <c r="V47" s="9"/>
    </row>
    <row r="48" customFormat="false" ht="34.5" hidden="false" customHeight="true" outlineLevel="0" collapsed="false">
      <c r="A48" s="8" t="n">
        <v>47</v>
      </c>
      <c r="B48" s="8" t="s">
        <v>463</v>
      </c>
      <c r="C48" s="8" t="s">
        <v>464</v>
      </c>
      <c r="D48" s="9" t="s">
        <v>21</v>
      </c>
      <c r="E48" s="9" t="s">
        <v>498</v>
      </c>
      <c r="F48" s="9" t="s">
        <v>499</v>
      </c>
      <c r="G48" s="9" t="s">
        <v>500</v>
      </c>
      <c r="H48" s="9" t="s">
        <v>501</v>
      </c>
      <c r="I48" s="9" t="s">
        <v>502</v>
      </c>
      <c r="J48" s="9"/>
      <c r="K48" s="9" t="s">
        <v>503</v>
      </c>
      <c r="L48" s="9" t="s">
        <v>504</v>
      </c>
      <c r="M48" s="9" t="s">
        <v>504</v>
      </c>
      <c r="N48" s="8" t="s">
        <v>88</v>
      </c>
      <c r="O48" s="9" t="s">
        <v>505</v>
      </c>
      <c r="P48" s="9" t="s">
        <v>506</v>
      </c>
      <c r="Q48" s="9" t="s">
        <v>507</v>
      </c>
      <c r="R48" s="9" t="s">
        <v>10</v>
      </c>
      <c r="S48" s="10" t="n">
        <v>46291</v>
      </c>
      <c r="T48" s="8" t="s">
        <v>224</v>
      </c>
      <c r="U48" s="10"/>
      <c r="V48" s="9" t="s">
        <v>508</v>
      </c>
    </row>
    <row r="49" customFormat="false" ht="34.5" hidden="false" customHeight="true" outlineLevel="0" collapsed="false">
      <c r="A49" s="8" t="n">
        <v>48</v>
      </c>
      <c r="B49" s="8" t="s">
        <v>463</v>
      </c>
      <c r="C49" s="8" t="s">
        <v>464</v>
      </c>
      <c r="D49" s="9" t="s">
        <v>20</v>
      </c>
      <c r="E49" s="9" t="s">
        <v>509</v>
      </c>
      <c r="F49" s="9" t="s">
        <v>510</v>
      </c>
      <c r="G49" s="9" t="s">
        <v>511</v>
      </c>
      <c r="H49" s="9" t="s">
        <v>512</v>
      </c>
      <c r="I49" s="9"/>
      <c r="J49" s="9"/>
      <c r="K49" s="9" t="s">
        <v>513</v>
      </c>
      <c r="L49" s="9" t="s">
        <v>514</v>
      </c>
      <c r="M49" s="9" t="s">
        <v>514</v>
      </c>
      <c r="N49" s="8" t="s">
        <v>53</v>
      </c>
      <c r="O49" s="9" t="s">
        <v>515</v>
      </c>
      <c r="P49" s="9" t="s">
        <v>516</v>
      </c>
      <c r="Q49" s="9" t="s">
        <v>517</v>
      </c>
      <c r="R49" s="9" t="s">
        <v>12</v>
      </c>
      <c r="S49" s="10" t="n">
        <v>46291</v>
      </c>
      <c r="T49" s="8" t="s">
        <v>224</v>
      </c>
      <c r="U49" s="10"/>
      <c r="V49" s="9" t="s">
        <v>518</v>
      </c>
    </row>
    <row r="50" customFormat="false" ht="23.25" hidden="false" customHeight="true" outlineLevel="0" collapsed="false">
      <c r="A50" s="8" t="n">
        <v>49</v>
      </c>
      <c r="B50" s="8" t="s">
        <v>463</v>
      </c>
      <c r="C50" s="8" t="s">
        <v>464</v>
      </c>
      <c r="D50" s="9" t="s">
        <v>19</v>
      </c>
      <c r="E50" s="9" t="s">
        <v>519</v>
      </c>
      <c r="F50" s="9" t="s">
        <v>520</v>
      </c>
      <c r="G50" s="9" t="s">
        <v>521</v>
      </c>
      <c r="H50" s="9" t="s">
        <v>116</v>
      </c>
      <c r="I50" s="9" t="s">
        <v>522</v>
      </c>
      <c r="J50" s="9"/>
      <c r="K50" s="9" t="s">
        <v>523</v>
      </c>
      <c r="L50" s="9" t="s">
        <v>524</v>
      </c>
      <c r="M50" s="9" t="s">
        <v>524</v>
      </c>
      <c r="N50" s="8" t="s">
        <v>53</v>
      </c>
      <c r="O50" s="9" t="s">
        <v>525</v>
      </c>
      <c r="P50" s="9" t="s">
        <v>526</v>
      </c>
      <c r="Q50" s="9" t="s">
        <v>527</v>
      </c>
      <c r="R50" s="9" t="s">
        <v>10</v>
      </c>
      <c r="S50" s="10" t="n">
        <v>46291</v>
      </c>
      <c r="T50" s="8" t="s">
        <v>224</v>
      </c>
      <c r="U50" s="10"/>
      <c r="V50" s="9" t="s">
        <v>528</v>
      </c>
    </row>
    <row r="51" customFormat="false" ht="34.5" hidden="false" customHeight="true" outlineLevel="0" collapsed="false">
      <c r="A51" s="8" t="n">
        <v>50</v>
      </c>
      <c r="B51" s="8" t="s">
        <v>463</v>
      </c>
      <c r="C51" s="8" t="s">
        <v>529</v>
      </c>
      <c r="D51" s="9" t="s">
        <v>19</v>
      </c>
      <c r="E51" s="9" t="s">
        <v>530</v>
      </c>
      <c r="F51" s="9" t="s">
        <v>531</v>
      </c>
      <c r="G51" s="9" t="s">
        <v>532</v>
      </c>
      <c r="H51" s="9" t="s">
        <v>116</v>
      </c>
      <c r="I51" s="9" t="s">
        <v>533</v>
      </c>
      <c r="J51" s="9"/>
      <c r="K51" s="9" t="s">
        <v>534</v>
      </c>
      <c r="L51" s="9" t="s">
        <v>535</v>
      </c>
      <c r="M51" s="9" t="s">
        <v>535</v>
      </c>
      <c r="N51" s="8" t="s">
        <v>53</v>
      </c>
      <c r="O51" s="9" t="s">
        <v>536</v>
      </c>
      <c r="P51" s="9" t="s">
        <v>537</v>
      </c>
      <c r="Q51" s="9" t="s">
        <v>538</v>
      </c>
      <c r="R51" s="9" t="s">
        <v>10</v>
      </c>
      <c r="S51" s="10" t="n">
        <v>46291</v>
      </c>
      <c r="T51" s="8" t="s">
        <v>57</v>
      </c>
      <c r="U51" s="10"/>
      <c r="V51" s="9" t="s">
        <v>58</v>
      </c>
    </row>
    <row r="52" customFormat="false" ht="34.5" hidden="false" customHeight="true" outlineLevel="0" collapsed="false">
      <c r="A52" s="8" t="n">
        <v>51</v>
      </c>
      <c r="B52" s="8" t="s">
        <v>463</v>
      </c>
      <c r="C52" s="8" t="s">
        <v>539</v>
      </c>
      <c r="D52" s="9" t="s">
        <v>19</v>
      </c>
      <c r="E52" s="9" t="s">
        <v>540</v>
      </c>
      <c r="F52" s="9" t="s">
        <v>541</v>
      </c>
      <c r="G52" s="9" t="s">
        <v>542</v>
      </c>
      <c r="H52" s="9" t="s">
        <v>543</v>
      </c>
      <c r="I52" s="9" t="s">
        <v>544</v>
      </c>
      <c r="J52" s="9"/>
      <c r="K52" s="9" t="s">
        <v>545</v>
      </c>
      <c r="L52" s="9" t="s">
        <v>546</v>
      </c>
      <c r="M52" s="9" t="s">
        <v>546</v>
      </c>
      <c r="N52" s="8" t="s">
        <v>53</v>
      </c>
      <c r="O52" s="9" t="s">
        <v>547</v>
      </c>
      <c r="P52" s="9" t="s">
        <v>548</v>
      </c>
      <c r="Q52" s="9" t="s">
        <v>549</v>
      </c>
      <c r="R52" s="9" t="s">
        <v>8</v>
      </c>
      <c r="S52" s="10" t="n">
        <v>46291</v>
      </c>
      <c r="T52" s="8" t="s">
        <v>57</v>
      </c>
      <c r="U52" s="10"/>
      <c r="V52" s="9" t="s">
        <v>58</v>
      </c>
    </row>
    <row r="53" customFormat="false" ht="34.5" hidden="false" customHeight="true" outlineLevel="0" collapsed="false">
      <c r="A53" s="8" t="n">
        <v>52</v>
      </c>
      <c r="B53" s="8" t="s">
        <v>463</v>
      </c>
      <c r="C53" s="8" t="s">
        <v>464</v>
      </c>
      <c r="D53" s="9" t="s">
        <v>22</v>
      </c>
      <c r="E53" s="9" t="s">
        <v>550</v>
      </c>
      <c r="F53" s="9" t="s">
        <v>94</v>
      </c>
      <c r="G53" s="9" t="s">
        <v>551</v>
      </c>
      <c r="H53" s="9" t="s">
        <v>72</v>
      </c>
      <c r="I53" s="9" t="s">
        <v>552</v>
      </c>
      <c r="J53" s="9"/>
      <c r="K53" s="9" t="s">
        <v>553</v>
      </c>
      <c r="L53" s="9" t="s">
        <v>554</v>
      </c>
      <c r="M53" s="9" t="s">
        <v>554</v>
      </c>
      <c r="N53" s="8" t="s">
        <v>53</v>
      </c>
      <c r="O53" s="9" t="s">
        <v>76</v>
      </c>
      <c r="P53" s="9" t="s">
        <v>99</v>
      </c>
      <c r="Q53" s="9" t="s">
        <v>78</v>
      </c>
      <c r="R53" s="9" t="s">
        <v>10</v>
      </c>
      <c r="S53" s="10" t="n">
        <v>46291</v>
      </c>
      <c r="T53" s="8" t="s">
        <v>68</v>
      </c>
      <c r="U53" s="10" t="n">
        <v>46291</v>
      </c>
      <c r="V53" s="9" t="s">
        <v>79</v>
      </c>
    </row>
    <row r="54" customFormat="false" ht="23.25" hidden="false" customHeight="true" outlineLevel="0" collapsed="false">
      <c r="A54" s="8" t="n">
        <v>53</v>
      </c>
      <c r="B54" s="8" t="s">
        <v>555</v>
      </c>
      <c r="C54" s="8" t="s">
        <v>556</v>
      </c>
      <c r="D54" s="9" t="s">
        <v>20</v>
      </c>
      <c r="E54" s="9" t="s">
        <v>557</v>
      </c>
      <c r="F54" s="9" t="s">
        <v>558</v>
      </c>
      <c r="G54" s="9" t="s">
        <v>559</v>
      </c>
      <c r="H54" s="9" t="s">
        <v>116</v>
      </c>
      <c r="I54" s="9" t="s">
        <v>560</v>
      </c>
      <c r="J54" s="9"/>
      <c r="K54" s="9" t="s">
        <v>561</v>
      </c>
      <c r="L54" s="9" t="s">
        <v>562</v>
      </c>
      <c r="M54" s="9" t="s">
        <v>562</v>
      </c>
      <c r="N54" s="8" t="s">
        <v>53</v>
      </c>
      <c r="O54" s="9" t="s">
        <v>563</v>
      </c>
      <c r="P54" s="9" t="s">
        <v>564</v>
      </c>
      <c r="Q54" s="9" t="s">
        <v>565</v>
      </c>
      <c r="R54" s="9" t="s">
        <v>10</v>
      </c>
      <c r="S54" s="10" t="n">
        <v>46291</v>
      </c>
      <c r="T54" s="8" t="s">
        <v>57</v>
      </c>
      <c r="U54" s="10"/>
      <c r="V54" s="9" t="s">
        <v>58</v>
      </c>
    </row>
    <row r="55" customFormat="false" ht="34.5" hidden="false" customHeight="true" outlineLevel="0" collapsed="false">
      <c r="A55" s="8" t="n">
        <v>54</v>
      </c>
      <c r="B55" s="8" t="s">
        <v>555</v>
      </c>
      <c r="C55" s="8" t="s">
        <v>566</v>
      </c>
      <c r="D55" s="9" t="s">
        <v>19</v>
      </c>
      <c r="E55" s="9" t="s">
        <v>567</v>
      </c>
      <c r="F55" s="9" t="s">
        <v>568</v>
      </c>
      <c r="G55" s="9" t="s">
        <v>569</v>
      </c>
      <c r="H55" s="9" t="s">
        <v>116</v>
      </c>
      <c r="I55" s="9" t="s">
        <v>570</v>
      </c>
      <c r="J55" s="9"/>
      <c r="K55" s="9" t="s">
        <v>571</v>
      </c>
      <c r="L55" s="9" t="s">
        <v>572</v>
      </c>
      <c r="M55" s="9" t="s">
        <v>572</v>
      </c>
      <c r="N55" s="8" t="s">
        <v>53</v>
      </c>
      <c r="O55" s="9" t="s">
        <v>573</v>
      </c>
      <c r="P55" s="9" t="s">
        <v>574</v>
      </c>
      <c r="Q55" s="9" t="s">
        <v>575</v>
      </c>
      <c r="R55" s="9" t="s">
        <v>10</v>
      </c>
      <c r="S55" s="10" t="n">
        <v>46291</v>
      </c>
      <c r="T55" s="8" t="s">
        <v>57</v>
      </c>
      <c r="U55" s="10"/>
      <c r="V55" s="9" t="s">
        <v>58</v>
      </c>
    </row>
    <row r="56" customFormat="false" ht="34.5" hidden="false" customHeight="true" outlineLevel="0" collapsed="false">
      <c r="A56" s="8" t="n">
        <v>55</v>
      </c>
      <c r="B56" s="8" t="s">
        <v>555</v>
      </c>
      <c r="C56" s="8" t="s">
        <v>576</v>
      </c>
      <c r="D56" s="9" t="s">
        <v>19</v>
      </c>
      <c r="E56" s="9" t="s">
        <v>577</v>
      </c>
      <c r="F56" s="9" t="s">
        <v>578</v>
      </c>
      <c r="G56" s="9" t="s">
        <v>579</v>
      </c>
      <c r="H56" s="9" t="s">
        <v>580</v>
      </c>
      <c r="I56" s="9" t="s">
        <v>581</v>
      </c>
      <c r="J56" s="9" t="s">
        <v>582</v>
      </c>
      <c r="K56" s="9" t="s">
        <v>583</v>
      </c>
      <c r="L56" s="9" t="s">
        <v>584</v>
      </c>
      <c r="M56" s="9" t="s">
        <v>584</v>
      </c>
      <c r="N56" s="8" t="s">
        <v>53</v>
      </c>
      <c r="O56" s="9" t="s">
        <v>585</v>
      </c>
      <c r="P56" s="9" t="s">
        <v>586</v>
      </c>
      <c r="Q56" s="9" t="s">
        <v>587</v>
      </c>
      <c r="R56" s="9" t="s">
        <v>8</v>
      </c>
      <c r="S56" s="10" t="n">
        <v>46291</v>
      </c>
      <c r="T56" s="8" t="s">
        <v>224</v>
      </c>
      <c r="U56" s="10"/>
      <c r="V56" s="9" t="s">
        <v>588</v>
      </c>
    </row>
    <row r="57" customFormat="false" ht="34.5" hidden="false" customHeight="true" outlineLevel="0" collapsed="false">
      <c r="A57" s="8" t="n">
        <v>56</v>
      </c>
      <c r="B57" s="8" t="s">
        <v>555</v>
      </c>
      <c r="C57" s="8" t="s">
        <v>576</v>
      </c>
      <c r="D57" s="9" t="s">
        <v>19</v>
      </c>
      <c r="E57" s="9" t="s">
        <v>589</v>
      </c>
      <c r="F57" s="9" t="s">
        <v>590</v>
      </c>
      <c r="G57" s="9" t="s">
        <v>591</v>
      </c>
      <c r="H57" s="9" t="s">
        <v>116</v>
      </c>
      <c r="I57" s="9" t="s">
        <v>592</v>
      </c>
      <c r="J57" s="9"/>
      <c r="K57" s="9" t="s">
        <v>593</v>
      </c>
      <c r="L57" s="9" t="s">
        <v>594</v>
      </c>
      <c r="M57" s="9" t="s">
        <v>594</v>
      </c>
      <c r="N57" s="8" t="s">
        <v>88</v>
      </c>
      <c r="O57" s="9" t="s">
        <v>595</v>
      </c>
      <c r="P57" s="9" t="s">
        <v>596</v>
      </c>
      <c r="Q57" s="9" t="s">
        <v>597</v>
      </c>
      <c r="R57" s="9" t="s">
        <v>10</v>
      </c>
      <c r="S57" s="10" t="n">
        <v>46291</v>
      </c>
      <c r="T57" s="8" t="s">
        <v>68</v>
      </c>
      <c r="U57" s="10" t="n">
        <v>46291</v>
      </c>
      <c r="V57" s="9"/>
    </row>
    <row r="58" customFormat="false" ht="34.5" hidden="false" customHeight="true" outlineLevel="0" collapsed="false">
      <c r="A58" s="8" t="n">
        <v>57</v>
      </c>
      <c r="B58" s="8" t="s">
        <v>555</v>
      </c>
      <c r="C58" s="8" t="s">
        <v>598</v>
      </c>
      <c r="D58" s="9" t="s">
        <v>19</v>
      </c>
      <c r="E58" s="9" t="s">
        <v>599</v>
      </c>
      <c r="F58" s="9" t="s">
        <v>600</v>
      </c>
      <c r="G58" s="9" t="s">
        <v>601</v>
      </c>
      <c r="H58" s="9" t="s">
        <v>116</v>
      </c>
      <c r="I58" s="9" t="s">
        <v>602</v>
      </c>
      <c r="J58" s="9"/>
      <c r="K58" s="9" t="s">
        <v>603</v>
      </c>
      <c r="L58" s="9" t="s">
        <v>604</v>
      </c>
      <c r="M58" s="9" t="s">
        <v>604</v>
      </c>
      <c r="N58" s="8" t="s">
        <v>88</v>
      </c>
      <c r="O58" s="9" t="s">
        <v>605</v>
      </c>
      <c r="P58" s="9" t="s">
        <v>606</v>
      </c>
      <c r="Q58" s="9" t="s">
        <v>607</v>
      </c>
      <c r="R58" s="9" t="s">
        <v>8</v>
      </c>
      <c r="S58" s="10" t="n">
        <v>46291</v>
      </c>
      <c r="T58" s="8" t="s">
        <v>57</v>
      </c>
      <c r="U58" s="10"/>
      <c r="V58" s="9" t="s">
        <v>58</v>
      </c>
    </row>
    <row r="59" customFormat="false" ht="34.5" hidden="false" customHeight="true" outlineLevel="0" collapsed="false">
      <c r="A59" s="8" t="n">
        <v>58</v>
      </c>
      <c r="B59" s="8" t="s">
        <v>555</v>
      </c>
      <c r="C59" s="8" t="s">
        <v>608</v>
      </c>
      <c r="D59" s="9" t="s">
        <v>22</v>
      </c>
      <c r="E59" s="9" t="s">
        <v>609</v>
      </c>
      <c r="F59" s="9" t="s">
        <v>610</v>
      </c>
      <c r="G59" s="9" t="s">
        <v>611</v>
      </c>
      <c r="H59" s="9" t="s">
        <v>612</v>
      </c>
      <c r="I59" s="9" t="s">
        <v>613</v>
      </c>
      <c r="J59" s="9" t="s">
        <v>614</v>
      </c>
      <c r="K59" s="9" t="s">
        <v>615</v>
      </c>
      <c r="L59" s="9" t="s">
        <v>616</v>
      </c>
      <c r="M59" s="9" t="s">
        <v>616</v>
      </c>
      <c r="N59" s="8" t="s">
        <v>53</v>
      </c>
      <c r="O59" s="9" t="s">
        <v>76</v>
      </c>
      <c r="P59" s="9" t="s">
        <v>617</v>
      </c>
      <c r="Q59" s="9" t="s">
        <v>78</v>
      </c>
      <c r="R59" s="9" t="s">
        <v>8</v>
      </c>
      <c r="S59" s="10" t="n">
        <v>46291</v>
      </c>
      <c r="T59" s="8" t="s">
        <v>57</v>
      </c>
      <c r="U59" s="10"/>
      <c r="V59" s="9" t="s">
        <v>58</v>
      </c>
    </row>
    <row r="60" customFormat="false" ht="34.5" hidden="false" customHeight="true" outlineLevel="0" collapsed="false">
      <c r="A60" s="8" t="n">
        <v>59</v>
      </c>
      <c r="B60" s="8" t="s">
        <v>618</v>
      </c>
      <c r="C60" s="8" t="s">
        <v>619</v>
      </c>
      <c r="D60" s="9" t="s">
        <v>21</v>
      </c>
      <c r="E60" s="9" t="s">
        <v>620</v>
      </c>
      <c r="F60" s="9" t="s">
        <v>621</v>
      </c>
      <c r="G60" s="9" t="s">
        <v>622</v>
      </c>
      <c r="H60" s="9" t="s">
        <v>49</v>
      </c>
      <c r="I60" s="9" t="s">
        <v>623</v>
      </c>
      <c r="J60" s="9"/>
      <c r="K60" s="9" t="s">
        <v>624</v>
      </c>
      <c r="L60" s="9" t="s">
        <v>625</v>
      </c>
      <c r="M60" s="9" t="s">
        <v>625</v>
      </c>
      <c r="N60" s="8" t="s">
        <v>53</v>
      </c>
      <c r="O60" s="9" t="s">
        <v>626</v>
      </c>
      <c r="P60" s="9" t="s">
        <v>246</v>
      </c>
      <c r="Q60" s="9" t="s">
        <v>627</v>
      </c>
      <c r="R60" s="9" t="s">
        <v>10</v>
      </c>
      <c r="S60" s="10" t="n">
        <v>46291</v>
      </c>
      <c r="T60" s="8" t="s">
        <v>68</v>
      </c>
      <c r="U60" s="10" t="n">
        <v>46291</v>
      </c>
      <c r="V60" s="9"/>
    </row>
    <row r="61" customFormat="false" ht="34.5" hidden="false" customHeight="true" outlineLevel="0" collapsed="false">
      <c r="A61" s="8" t="n">
        <v>60</v>
      </c>
      <c r="B61" s="8" t="s">
        <v>618</v>
      </c>
      <c r="C61" s="8" t="s">
        <v>628</v>
      </c>
      <c r="D61" s="9" t="s">
        <v>20</v>
      </c>
      <c r="E61" s="9" t="s">
        <v>629</v>
      </c>
      <c r="F61" s="9" t="s">
        <v>630</v>
      </c>
      <c r="G61" s="9" t="s">
        <v>631</v>
      </c>
      <c r="H61" s="9" t="s">
        <v>631</v>
      </c>
      <c r="I61" s="9" t="s">
        <v>632</v>
      </c>
      <c r="J61" s="9" t="s">
        <v>633</v>
      </c>
      <c r="K61" s="9"/>
      <c r="L61" s="9" t="s">
        <v>634</v>
      </c>
      <c r="M61" s="9" t="s">
        <v>634</v>
      </c>
      <c r="N61" s="8" t="s">
        <v>53</v>
      </c>
      <c r="O61" s="9" t="s">
        <v>345</v>
      </c>
      <c r="P61" s="9" t="s">
        <v>635</v>
      </c>
      <c r="Q61" s="9" t="s">
        <v>143</v>
      </c>
      <c r="R61" s="9" t="s">
        <v>10</v>
      </c>
      <c r="S61" s="10" t="n">
        <v>46291</v>
      </c>
      <c r="T61" s="8" t="s">
        <v>68</v>
      </c>
      <c r="U61" s="10" t="n">
        <v>46291</v>
      </c>
      <c r="V61" s="9" t="s">
        <v>144</v>
      </c>
    </row>
    <row r="62" customFormat="false" ht="34.5" hidden="false" customHeight="true" outlineLevel="0" collapsed="false">
      <c r="A62" s="8" t="n">
        <v>61</v>
      </c>
      <c r="B62" s="8" t="s">
        <v>618</v>
      </c>
      <c r="C62" s="8" t="s">
        <v>619</v>
      </c>
      <c r="D62" s="9" t="s">
        <v>22</v>
      </c>
      <c r="E62" s="9" t="s">
        <v>636</v>
      </c>
      <c r="F62" s="9" t="s">
        <v>94</v>
      </c>
      <c r="G62" s="9" t="s">
        <v>637</v>
      </c>
      <c r="H62" s="9" t="s">
        <v>72</v>
      </c>
      <c r="I62" s="9" t="s">
        <v>638</v>
      </c>
      <c r="J62" s="9"/>
      <c r="K62" s="9" t="s">
        <v>639</v>
      </c>
      <c r="L62" s="9" t="s">
        <v>640</v>
      </c>
      <c r="M62" s="9" t="s">
        <v>640</v>
      </c>
      <c r="N62" s="8" t="s">
        <v>53</v>
      </c>
      <c r="O62" s="9" t="s">
        <v>76</v>
      </c>
      <c r="P62" s="9" t="s">
        <v>99</v>
      </c>
      <c r="Q62" s="9" t="s">
        <v>78</v>
      </c>
      <c r="R62" s="9" t="s">
        <v>10</v>
      </c>
      <c r="S62" s="10" t="n">
        <v>46291</v>
      </c>
      <c r="T62" s="8" t="s">
        <v>68</v>
      </c>
      <c r="U62" s="10" t="n">
        <v>46291</v>
      </c>
      <c r="V62" s="9" t="s">
        <v>79</v>
      </c>
    </row>
    <row r="63" customFormat="false" ht="34.5" hidden="false" customHeight="true" outlineLevel="0" collapsed="false">
      <c r="A63" s="8" t="n">
        <v>62</v>
      </c>
      <c r="B63" s="8" t="s">
        <v>641</v>
      </c>
      <c r="C63" s="8" t="s">
        <v>642</v>
      </c>
      <c r="D63" s="9" t="s">
        <v>21</v>
      </c>
      <c r="E63" s="9" t="s">
        <v>643</v>
      </c>
      <c r="F63" s="9" t="s">
        <v>644</v>
      </c>
      <c r="G63" s="9" t="s">
        <v>645</v>
      </c>
      <c r="H63" s="9" t="s">
        <v>49</v>
      </c>
      <c r="I63" s="9" t="s">
        <v>646</v>
      </c>
      <c r="J63" s="9"/>
      <c r="K63" s="9"/>
      <c r="L63" s="9" t="s">
        <v>64</v>
      </c>
      <c r="M63" s="9" t="s">
        <v>64</v>
      </c>
      <c r="N63" s="8" t="s">
        <v>88</v>
      </c>
      <c r="O63" s="9" t="s">
        <v>647</v>
      </c>
      <c r="P63" s="9" t="s">
        <v>648</v>
      </c>
      <c r="Q63" s="9" t="s">
        <v>649</v>
      </c>
      <c r="R63" s="9" t="s">
        <v>10</v>
      </c>
      <c r="S63" s="10" t="n">
        <v>46291</v>
      </c>
      <c r="T63" s="8" t="s">
        <v>68</v>
      </c>
      <c r="U63" s="10" t="n">
        <v>46291</v>
      </c>
      <c r="V63" s="9"/>
    </row>
    <row r="64" customFormat="false" ht="34.5" hidden="false" customHeight="true" outlineLevel="0" collapsed="false">
      <c r="A64" s="8" t="n">
        <v>63</v>
      </c>
      <c r="B64" s="8" t="s">
        <v>641</v>
      </c>
      <c r="C64" s="8" t="s">
        <v>650</v>
      </c>
      <c r="D64" s="9" t="s">
        <v>21</v>
      </c>
      <c r="E64" s="9" t="s">
        <v>651</v>
      </c>
      <c r="F64" s="9" t="s">
        <v>652</v>
      </c>
      <c r="G64" s="9" t="s">
        <v>653</v>
      </c>
      <c r="H64" s="9" t="s">
        <v>654</v>
      </c>
      <c r="I64" s="9" t="s">
        <v>655</v>
      </c>
      <c r="J64" s="9" t="s">
        <v>656</v>
      </c>
      <c r="K64" s="9" t="s">
        <v>657</v>
      </c>
      <c r="L64" s="9" t="s">
        <v>658</v>
      </c>
      <c r="M64" s="9" t="s">
        <v>658</v>
      </c>
      <c r="N64" s="8" t="s">
        <v>53</v>
      </c>
      <c r="O64" s="9" t="s">
        <v>141</v>
      </c>
      <c r="P64" s="9" t="s">
        <v>659</v>
      </c>
      <c r="Q64" s="9" t="s">
        <v>143</v>
      </c>
      <c r="R64" s="9" t="s">
        <v>8</v>
      </c>
      <c r="S64" s="10" t="n">
        <v>46291</v>
      </c>
      <c r="T64" s="8" t="s">
        <v>68</v>
      </c>
      <c r="U64" s="10" t="n">
        <v>46291</v>
      </c>
      <c r="V64" s="9" t="s">
        <v>144</v>
      </c>
    </row>
    <row r="65" customFormat="false" ht="23.25" hidden="false" customHeight="true" outlineLevel="0" collapsed="false">
      <c r="A65" s="8" t="n">
        <v>64</v>
      </c>
      <c r="B65" s="8" t="s">
        <v>641</v>
      </c>
      <c r="C65" s="8" t="s">
        <v>660</v>
      </c>
      <c r="D65" s="9" t="s">
        <v>20</v>
      </c>
      <c r="E65" s="9" t="s">
        <v>661</v>
      </c>
      <c r="F65" s="9" t="s">
        <v>662</v>
      </c>
      <c r="G65" s="9" t="s">
        <v>663</v>
      </c>
      <c r="H65" s="9" t="s">
        <v>116</v>
      </c>
      <c r="I65" s="9" t="s">
        <v>664</v>
      </c>
      <c r="J65" s="9"/>
      <c r="K65" s="9" t="s">
        <v>665</v>
      </c>
      <c r="L65" s="9" t="s">
        <v>666</v>
      </c>
      <c r="M65" s="9" t="s">
        <v>666</v>
      </c>
      <c r="N65" s="8" t="s">
        <v>53</v>
      </c>
      <c r="O65" s="9" t="s">
        <v>667</v>
      </c>
      <c r="P65" s="9" t="s">
        <v>668</v>
      </c>
      <c r="Q65" s="9" t="s">
        <v>669</v>
      </c>
      <c r="R65" s="9" t="s">
        <v>10</v>
      </c>
      <c r="S65" s="10" t="n">
        <v>46291</v>
      </c>
      <c r="T65" s="8" t="s">
        <v>68</v>
      </c>
      <c r="U65" s="10" t="n">
        <v>46291</v>
      </c>
      <c r="V65" s="9"/>
    </row>
    <row r="66" customFormat="false" ht="34.5" hidden="false" customHeight="true" outlineLevel="0" collapsed="false">
      <c r="A66" s="8" t="n">
        <v>65</v>
      </c>
      <c r="B66" s="8" t="s">
        <v>641</v>
      </c>
      <c r="C66" s="8" t="s">
        <v>650</v>
      </c>
      <c r="D66" s="9" t="s">
        <v>19</v>
      </c>
      <c r="E66" s="9" t="s">
        <v>670</v>
      </c>
      <c r="F66" s="9" t="s">
        <v>671</v>
      </c>
      <c r="G66" s="9" t="s">
        <v>672</v>
      </c>
      <c r="H66" s="9" t="s">
        <v>49</v>
      </c>
      <c r="I66" s="9" t="s">
        <v>673</v>
      </c>
      <c r="J66" s="9"/>
      <c r="K66" s="9" t="s">
        <v>674</v>
      </c>
      <c r="L66" s="9" t="s">
        <v>675</v>
      </c>
      <c r="M66" s="9" t="s">
        <v>675</v>
      </c>
      <c r="N66" s="8" t="s">
        <v>53</v>
      </c>
      <c r="O66" s="9" t="s">
        <v>676</v>
      </c>
      <c r="P66" s="9" t="s">
        <v>677</v>
      </c>
      <c r="Q66" s="9" t="s">
        <v>678</v>
      </c>
      <c r="R66" s="9" t="s">
        <v>10</v>
      </c>
      <c r="S66" s="10" t="n">
        <v>46291</v>
      </c>
      <c r="T66" s="8" t="s">
        <v>57</v>
      </c>
      <c r="U66" s="10"/>
      <c r="V66" s="9" t="s">
        <v>58</v>
      </c>
    </row>
    <row r="67" customFormat="false" ht="34.5" hidden="false" customHeight="true" outlineLevel="0" collapsed="false">
      <c r="A67" s="8" t="n">
        <v>66</v>
      </c>
      <c r="B67" s="8" t="s">
        <v>641</v>
      </c>
      <c r="C67" s="8" t="s">
        <v>679</v>
      </c>
      <c r="D67" s="9" t="s">
        <v>19</v>
      </c>
      <c r="E67" s="9" t="s">
        <v>680</v>
      </c>
      <c r="F67" s="9" t="s">
        <v>681</v>
      </c>
      <c r="G67" s="9" t="s">
        <v>682</v>
      </c>
      <c r="H67" s="9" t="s">
        <v>683</v>
      </c>
      <c r="I67" s="9" t="s">
        <v>684</v>
      </c>
      <c r="J67" s="9"/>
      <c r="K67" s="9" t="s">
        <v>685</v>
      </c>
      <c r="L67" s="9" t="s">
        <v>686</v>
      </c>
      <c r="M67" s="9" t="s">
        <v>686</v>
      </c>
      <c r="N67" s="8" t="s">
        <v>53</v>
      </c>
      <c r="O67" s="9" t="s">
        <v>687</v>
      </c>
      <c r="P67" s="9" t="s">
        <v>688</v>
      </c>
      <c r="Q67" s="9" t="s">
        <v>689</v>
      </c>
      <c r="R67" s="9" t="s">
        <v>10</v>
      </c>
      <c r="S67" s="10" t="n">
        <v>46291</v>
      </c>
      <c r="T67" s="8" t="s">
        <v>68</v>
      </c>
      <c r="U67" s="10" t="n">
        <v>46291</v>
      </c>
      <c r="V67" s="9"/>
    </row>
    <row r="68" customFormat="false" ht="34.5" hidden="false" customHeight="true" outlineLevel="0" collapsed="false">
      <c r="A68" s="8" t="n">
        <v>67</v>
      </c>
      <c r="B68" s="8" t="s">
        <v>641</v>
      </c>
      <c r="C68" s="8" t="s">
        <v>650</v>
      </c>
      <c r="D68" s="9" t="s">
        <v>19</v>
      </c>
      <c r="E68" s="9" t="s">
        <v>690</v>
      </c>
      <c r="F68" s="9" t="s">
        <v>691</v>
      </c>
      <c r="G68" s="9" t="s">
        <v>692</v>
      </c>
      <c r="H68" s="9" t="s">
        <v>693</v>
      </c>
      <c r="I68" s="9" t="s">
        <v>694</v>
      </c>
      <c r="J68" s="9"/>
      <c r="K68" s="9" t="s">
        <v>695</v>
      </c>
      <c r="L68" s="9" t="s">
        <v>696</v>
      </c>
      <c r="M68" s="9" t="s">
        <v>696</v>
      </c>
      <c r="N68" s="8" t="s">
        <v>53</v>
      </c>
      <c r="O68" s="9" t="s">
        <v>697</v>
      </c>
      <c r="P68" s="9" t="s">
        <v>698</v>
      </c>
      <c r="Q68" s="9" t="s">
        <v>699</v>
      </c>
      <c r="R68" s="9" t="s">
        <v>10</v>
      </c>
      <c r="S68" s="10" t="n">
        <v>46291</v>
      </c>
      <c r="T68" s="8" t="s">
        <v>68</v>
      </c>
      <c r="U68" s="10" t="n">
        <v>46291</v>
      </c>
      <c r="V68" s="9"/>
    </row>
    <row r="69" customFormat="false" ht="34.5" hidden="false" customHeight="true" outlineLevel="0" collapsed="false">
      <c r="A69" s="8" t="n">
        <v>68</v>
      </c>
      <c r="B69" s="8" t="s">
        <v>641</v>
      </c>
      <c r="C69" s="8" t="s">
        <v>679</v>
      </c>
      <c r="D69" s="9" t="s">
        <v>22</v>
      </c>
      <c r="E69" s="9" t="s">
        <v>700</v>
      </c>
      <c r="F69" s="9" t="s">
        <v>701</v>
      </c>
      <c r="G69" s="9" t="s">
        <v>702</v>
      </c>
      <c r="H69" s="9" t="s">
        <v>612</v>
      </c>
      <c r="I69" s="9" t="s">
        <v>703</v>
      </c>
      <c r="J69" s="9"/>
      <c r="K69" s="9" t="s">
        <v>704</v>
      </c>
      <c r="L69" s="9" t="s">
        <v>705</v>
      </c>
      <c r="M69" s="9" t="s">
        <v>705</v>
      </c>
      <c r="N69" s="8" t="s">
        <v>53</v>
      </c>
      <c r="O69" s="9" t="s">
        <v>76</v>
      </c>
      <c r="P69" s="9" t="s">
        <v>706</v>
      </c>
      <c r="Q69" s="9" t="s">
        <v>78</v>
      </c>
      <c r="R69" s="9" t="s">
        <v>8</v>
      </c>
      <c r="S69" s="10" t="n">
        <v>46291</v>
      </c>
      <c r="T69" s="8" t="s">
        <v>68</v>
      </c>
      <c r="U69" s="10" t="n">
        <v>46291</v>
      </c>
      <c r="V69" s="9" t="s">
        <v>79</v>
      </c>
    </row>
    <row r="70" customFormat="false" ht="34.5" hidden="false" customHeight="true" outlineLevel="0" collapsed="false">
      <c r="A70" s="8" t="n">
        <v>69</v>
      </c>
      <c r="B70" s="8" t="s">
        <v>707</v>
      </c>
      <c r="C70" s="8" t="s">
        <v>708</v>
      </c>
      <c r="D70" s="9" t="s">
        <v>21</v>
      </c>
      <c r="E70" s="9" t="s">
        <v>709</v>
      </c>
      <c r="F70" s="9" t="s">
        <v>710</v>
      </c>
      <c r="G70" s="9" t="s">
        <v>711</v>
      </c>
      <c r="H70" s="9" t="s">
        <v>712</v>
      </c>
      <c r="I70" s="9" t="s">
        <v>713</v>
      </c>
      <c r="J70" s="9"/>
      <c r="K70" s="9" t="s">
        <v>714</v>
      </c>
      <c r="L70" s="9" t="s">
        <v>715</v>
      </c>
      <c r="M70" s="9" t="s">
        <v>715</v>
      </c>
      <c r="N70" s="8" t="s">
        <v>383</v>
      </c>
      <c r="O70" s="9" t="s">
        <v>716</v>
      </c>
      <c r="P70" s="9" t="s">
        <v>717</v>
      </c>
      <c r="Q70" s="9" t="s">
        <v>718</v>
      </c>
      <c r="R70" s="9" t="s">
        <v>10</v>
      </c>
      <c r="S70" s="10" t="n">
        <v>46291</v>
      </c>
      <c r="T70" s="8" t="s">
        <v>224</v>
      </c>
      <c r="U70" s="10"/>
      <c r="V70" s="9" t="s">
        <v>719</v>
      </c>
    </row>
    <row r="71" customFormat="false" ht="34.5" hidden="false" customHeight="true" outlineLevel="0" collapsed="false">
      <c r="A71" s="8" t="n">
        <v>70</v>
      </c>
      <c r="B71" s="8" t="s">
        <v>707</v>
      </c>
      <c r="C71" s="8" t="s">
        <v>708</v>
      </c>
      <c r="D71" s="9" t="s">
        <v>22</v>
      </c>
      <c r="E71" s="9" t="s">
        <v>720</v>
      </c>
      <c r="F71" s="9" t="s">
        <v>94</v>
      </c>
      <c r="G71" s="9" t="s">
        <v>721</v>
      </c>
      <c r="H71" s="9" t="s">
        <v>72</v>
      </c>
      <c r="I71" s="9" t="s">
        <v>722</v>
      </c>
      <c r="J71" s="9"/>
      <c r="K71" s="9" t="s">
        <v>723</v>
      </c>
      <c r="L71" s="9" t="s">
        <v>724</v>
      </c>
      <c r="M71" s="9" t="s">
        <v>724</v>
      </c>
      <c r="N71" s="8" t="s">
        <v>88</v>
      </c>
      <c r="O71" s="9" t="s">
        <v>76</v>
      </c>
      <c r="P71" s="9" t="s">
        <v>99</v>
      </c>
      <c r="Q71" s="9" t="s">
        <v>78</v>
      </c>
      <c r="R71" s="9" t="s">
        <v>10</v>
      </c>
      <c r="S71" s="10" t="n">
        <v>46291</v>
      </c>
      <c r="T71" s="8" t="s">
        <v>68</v>
      </c>
      <c r="U71" s="10" t="n">
        <v>46291</v>
      </c>
      <c r="V71" s="9" t="s">
        <v>79</v>
      </c>
    </row>
    <row r="72" customFormat="false" ht="45.75" hidden="false" customHeight="true" outlineLevel="0" collapsed="false">
      <c r="A72" s="8" t="n">
        <v>71</v>
      </c>
      <c r="B72" s="8" t="s">
        <v>725</v>
      </c>
      <c r="C72" s="8" t="s">
        <v>726</v>
      </c>
      <c r="D72" s="9" t="s">
        <v>20</v>
      </c>
      <c r="E72" s="9" t="s">
        <v>727</v>
      </c>
      <c r="F72" s="9" t="s">
        <v>728</v>
      </c>
      <c r="G72" s="9" t="s">
        <v>729</v>
      </c>
      <c r="H72" s="9" t="s">
        <v>730</v>
      </c>
      <c r="I72" s="9" t="s">
        <v>731</v>
      </c>
      <c r="J72" s="9" t="s">
        <v>732</v>
      </c>
      <c r="K72" s="9" t="s">
        <v>733</v>
      </c>
      <c r="L72" s="9" t="s">
        <v>734</v>
      </c>
      <c r="M72" s="9" t="s">
        <v>734</v>
      </c>
      <c r="N72" s="8" t="s">
        <v>53</v>
      </c>
      <c r="O72" s="9" t="s">
        <v>735</v>
      </c>
      <c r="P72" s="9" t="s">
        <v>736</v>
      </c>
      <c r="Q72" s="9" t="s">
        <v>737</v>
      </c>
      <c r="R72" s="9" t="s">
        <v>10</v>
      </c>
      <c r="S72" s="10" t="n">
        <v>46291</v>
      </c>
      <c r="T72" s="8" t="s">
        <v>68</v>
      </c>
      <c r="U72" s="10" t="n">
        <v>46291</v>
      </c>
      <c r="V72" s="9"/>
    </row>
    <row r="73" customFormat="false" ht="34.5" hidden="false" customHeight="true" outlineLevel="0" collapsed="false">
      <c r="A73" s="8" t="n">
        <v>72</v>
      </c>
      <c r="B73" s="8" t="s">
        <v>725</v>
      </c>
      <c r="C73" s="8" t="s">
        <v>726</v>
      </c>
      <c r="D73" s="9" t="s">
        <v>22</v>
      </c>
      <c r="E73" s="9" t="s">
        <v>738</v>
      </c>
      <c r="F73" s="9" t="s">
        <v>739</v>
      </c>
      <c r="G73" s="9" t="s">
        <v>740</v>
      </c>
      <c r="H73" s="9" t="s">
        <v>741</v>
      </c>
      <c r="I73" s="9" t="s">
        <v>742</v>
      </c>
      <c r="J73" s="9" t="s">
        <v>743</v>
      </c>
      <c r="K73" s="9" t="s">
        <v>744</v>
      </c>
      <c r="L73" s="9" t="s">
        <v>745</v>
      </c>
      <c r="M73" s="9" t="s">
        <v>745</v>
      </c>
      <c r="N73" s="8" t="s">
        <v>53</v>
      </c>
      <c r="O73" s="9" t="s">
        <v>76</v>
      </c>
      <c r="P73" s="9" t="s">
        <v>746</v>
      </c>
      <c r="Q73" s="9" t="s">
        <v>78</v>
      </c>
      <c r="R73" s="9" t="s">
        <v>10</v>
      </c>
      <c r="S73" s="10" t="n">
        <v>46291</v>
      </c>
      <c r="T73" s="8" t="s">
        <v>68</v>
      </c>
      <c r="U73" s="10" t="n">
        <v>46291</v>
      </c>
      <c r="V73" s="9" t="s">
        <v>79</v>
      </c>
    </row>
    <row r="74" customFormat="false" ht="34.5" hidden="false" customHeight="true" outlineLevel="0" collapsed="false">
      <c r="A74" s="8" t="n">
        <v>73</v>
      </c>
      <c r="B74" s="8" t="s">
        <v>747</v>
      </c>
      <c r="C74" s="8" t="s">
        <v>748</v>
      </c>
      <c r="D74" s="9" t="s">
        <v>21</v>
      </c>
      <c r="E74" s="9" t="s">
        <v>749</v>
      </c>
      <c r="F74" s="9" t="s">
        <v>750</v>
      </c>
      <c r="G74" s="9" t="s">
        <v>751</v>
      </c>
      <c r="H74" s="9" t="s">
        <v>380</v>
      </c>
      <c r="I74" s="9" t="s">
        <v>752</v>
      </c>
      <c r="J74" s="9"/>
      <c r="K74" s="9"/>
      <c r="L74" s="9" t="s">
        <v>753</v>
      </c>
      <c r="M74" s="9" t="s">
        <v>753</v>
      </c>
      <c r="N74" s="8" t="s">
        <v>383</v>
      </c>
      <c r="O74" s="9" t="s">
        <v>754</v>
      </c>
      <c r="P74" s="9" t="s">
        <v>755</v>
      </c>
      <c r="Q74" s="9" t="s">
        <v>756</v>
      </c>
      <c r="R74" s="9" t="s">
        <v>8</v>
      </c>
      <c r="S74" s="10" t="n">
        <v>46291</v>
      </c>
      <c r="T74" s="8" t="s">
        <v>68</v>
      </c>
      <c r="U74" s="10" t="n">
        <v>46291</v>
      </c>
      <c r="V74" s="9"/>
    </row>
    <row r="75" customFormat="false" ht="34.5" hidden="false" customHeight="true" outlineLevel="0" collapsed="false">
      <c r="A75" s="8" t="n">
        <v>74</v>
      </c>
      <c r="B75" s="8" t="s">
        <v>747</v>
      </c>
      <c r="C75" s="8" t="s">
        <v>748</v>
      </c>
      <c r="D75" s="9" t="s">
        <v>22</v>
      </c>
      <c r="E75" s="9" t="s">
        <v>757</v>
      </c>
      <c r="F75" s="9" t="s">
        <v>94</v>
      </c>
      <c r="G75" s="9" t="s">
        <v>758</v>
      </c>
      <c r="H75" s="9" t="s">
        <v>72</v>
      </c>
      <c r="I75" s="9" t="s">
        <v>759</v>
      </c>
      <c r="J75" s="9"/>
      <c r="K75" s="9" t="s">
        <v>760</v>
      </c>
      <c r="L75" s="9" t="s">
        <v>761</v>
      </c>
      <c r="M75" s="9" t="s">
        <v>761</v>
      </c>
      <c r="N75" s="8" t="s">
        <v>88</v>
      </c>
      <c r="O75" s="9" t="s">
        <v>76</v>
      </c>
      <c r="P75" s="9" t="s">
        <v>99</v>
      </c>
      <c r="Q75" s="9" t="s">
        <v>78</v>
      </c>
      <c r="R75" s="9" t="s">
        <v>10</v>
      </c>
      <c r="S75" s="10" t="n">
        <v>46291</v>
      </c>
      <c r="T75" s="8" t="s">
        <v>68</v>
      </c>
      <c r="U75" s="10" t="n">
        <v>46291</v>
      </c>
      <c r="V75" s="9" t="s">
        <v>79</v>
      </c>
    </row>
    <row r="76" customFormat="false" ht="34.5" hidden="false" customHeight="true" outlineLevel="0" collapsed="false">
      <c r="A76" s="8" t="n">
        <v>75</v>
      </c>
      <c r="B76" s="8" t="s">
        <v>762</v>
      </c>
      <c r="C76" s="8" t="s">
        <v>763</v>
      </c>
      <c r="D76" s="9" t="s">
        <v>21</v>
      </c>
      <c r="E76" s="9" t="s">
        <v>764</v>
      </c>
      <c r="F76" s="9" t="s">
        <v>765</v>
      </c>
      <c r="G76" s="9" t="s">
        <v>765</v>
      </c>
      <c r="H76" s="9" t="s">
        <v>331</v>
      </c>
      <c r="I76" s="9"/>
      <c r="J76" s="9"/>
      <c r="K76" s="9"/>
      <c r="L76" s="9" t="s">
        <v>766</v>
      </c>
      <c r="M76" s="9" t="s">
        <v>766</v>
      </c>
      <c r="N76" s="8" t="s">
        <v>383</v>
      </c>
      <c r="O76" s="9" t="s">
        <v>767</v>
      </c>
      <c r="P76" s="9" t="s">
        <v>768</v>
      </c>
      <c r="Q76" s="9" t="s">
        <v>769</v>
      </c>
      <c r="R76" s="9" t="s">
        <v>12</v>
      </c>
      <c r="S76" s="10" t="n">
        <v>46291</v>
      </c>
      <c r="T76" s="8" t="s">
        <v>224</v>
      </c>
      <c r="U76" s="10"/>
      <c r="V76" s="9" t="s">
        <v>518</v>
      </c>
    </row>
    <row r="77" customFormat="false" ht="34.5" hidden="false" customHeight="true" outlineLevel="0" collapsed="false">
      <c r="A77" s="8" t="n">
        <v>76</v>
      </c>
      <c r="B77" s="8" t="s">
        <v>762</v>
      </c>
      <c r="C77" s="8" t="s">
        <v>763</v>
      </c>
      <c r="D77" s="9" t="s">
        <v>22</v>
      </c>
      <c r="E77" s="9" t="s">
        <v>770</v>
      </c>
      <c r="F77" s="9" t="s">
        <v>94</v>
      </c>
      <c r="G77" s="9" t="s">
        <v>771</v>
      </c>
      <c r="H77" s="9" t="s">
        <v>772</v>
      </c>
      <c r="I77" s="9" t="s">
        <v>773</v>
      </c>
      <c r="J77" s="9" t="s">
        <v>774</v>
      </c>
      <c r="K77" s="9" t="s">
        <v>775</v>
      </c>
      <c r="L77" s="9" t="s">
        <v>776</v>
      </c>
      <c r="M77" s="9" t="s">
        <v>776</v>
      </c>
      <c r="N77" s="8" t="s">
        <v>53</v>
      </c>
      <c r="O77" s="9" t="s">
        <v>76</v>
      </c>
      <c r="P77" s="9" t="s">
        <v>99</v>
      </c>
      <c r="Q77" s="9" t="s">
        <v>78</v>
      </c>
      <c r="R77" s="9" t="s">
        <v>8</v>
      </c>
      <c r="S77" s="10" t="n">
        <v>46291</v>
      </c>
      <c r="T77" s="8" t="s">
        <v>68</v>
      </c>
      <c r="U77" s="10" t="n">
        <v>46291</v>
      </c>
      <c r="V77" s="9" t="s">
        <v>79</v>
      </c>
    </row>
    <row r="78" customFormat="false" ht="34.5" hidden="false" customHeight="true" outlineLevel="0" collapsed="false">
      <c r="A78" s="8" t="n">
        <v>77</v>
      </c>
      <c r="B78" s="8" t="s">
        <v>777</v>
      </c>
      <c r="C78" s="8" t="s">
        <v>778</v>
      </c>
      <c r="D78" s="9" t="s">
        <v>20</v>
      </c>
      <c r="E78" s="9" t="s">
        <v>779</v>
      </c>
      <c r="F78" s="9" t="s">
        <v>780</v>
      </c>
      <c r="G78" s="9" t="s">
        <v>781</v>
      </c>
      <c r="H78" s="9" t="s">
        <v>782</v>
      </c>
      <c r="I78" s="9" t="s">
        <v>783</v>
      </c>
      <c r="J78" s="9"/>
      <c r="K78" s="9"/>
      <c r="L78" s="9" t="s">
        <v>784</v>
      </c>
      <c r="M78" s="9" t="s">
        <v>784</v>
      </c>
      <c r="N78" s="8" t="s">
        <v>383</v>
      </c>
      <c r="O78" s="9" t="s">
        <v>785</v>
      </c>
      <c r="P78" s="9" t="s">
        <v>786</v>
      </c>
      <c r="Q78" s="9" t="s">
        <v>787</v>
      </c>
      <c r="R78" s="9" t="s">
        <v>10</v>
      </c>
      <c r="S78" s="10" t="n">
        <v>46291</v>
      </c>
      <c r="T78" s="8" t="s">
        <v>68</v>
      </c>
      <c r="U78" s="10" t="n">
        <v>46291</v>
      </c>
      <c r="V78" s="9"/>
    </row>
    <row r="79" customFormat="false" ht="34.5" hidden="false" customHeight="true" outlineLevel="0" collapsed="false">
      <c r="A79" s="8" t="n">
        <v>78</v>
      </c>
      <c r="B79" s="8" t="s">
        <v>777</v>
      </c>
      <c r="C79" s="8" t="s">
        <v>788</v>
      </c>
      <c r="D79" s="9" t="s">
        <v>19</v>
      </c>
      <c r="E79" s="9" t="s">
        <v>789</v>
      </c>
      <c r="F79" s="9" t="s">
        <v>790</v>
      </c>
      <c r="G79" s="9" t="s">
        <v>791</v>
      </c>
      <c r="H79" s="9" t="s">
        <v>792</v>
      </c>
      <c r="I79" s="9" t="s">
        <v>793</v>
      </c>
      <c r="J79" s="9"/>
      <c r="K79" s="9" t="s">
        <v>794</v>
      </c>
      <c r="L79" s="9" t="s">
        <v>795</v>
      </c>
      <c r="M79" s="9" t="s">
        <v>795</v>
      </c>
      <c r="N79" s="8" t="s">
        <v>53</v>
      </c>
      <c r="O79" s="9" t="s">
        <v>796</v>
      </c>
      <c r="P79" s="9" t="s">
        <v>797</v>
      </c>
      <c r="Q79" s="9" t="s">
        <v>798</v>
      </c>
      <c r="R79" s="9" t="s">
        <v>10</v>
      </c>
      <c r="S79" s="10" t="n">
        <v>46291</v>
      </c>
      <c r="T79" s="8" t="s">
        <v>68</v>
      </c>
      <c r="U79" s="10" t="n">
        <v>46291</v>
      </c>
      <c r="V79" s="9"/>
    </row>
    <row r="80" customFormat="false" ht="34.5" hidden="false" customHeight="true" outlineLevel="0" collapsed="false">
      <c r="A80" s="8" t="n">
        <v>79</v>
      </c>
      <c r="B80" s="8" t="s">
        <v>777</v>
      </c>
      <c r="C80" s="8" t="s">
        <v>788</v>
      </c>
      <c r="D80" s="9" t="s">
        <v>19</v>
      </c>
      <c r="E80" s="9" t="s">
        <v>799</v>
      </c>
      <c r="F80" s="9" t="s">
        <v>800</v>
      </c>
      <c r="G80" s="9" t="s">
        <v>801</v>
      </c>
      <c r="H80" s="9" t="s">
        <v>148</v>
      </c>
      <c r="I80" s="9" t="s">
        <v>802</v>
      </c>
      <c r="J80" s="9" t="s">
        <v>803</v>
      </c>
      <c r="K80" s="9" t="s">
        <v>804</v>
      </c>
      <c r="L80" s="9" t="s">
        <v>805</v>
      </c>
      <c r="M80" s="9" t="s">
        <v>805</v>
      </c>
      <c r="N80" s="8" t="s">
        <v>53</v>
      </c>
      <c r="O80" s="9" t="s">
        <v>806</v>
      </c>
      <c r="P80" s="9" t="s">
        <v>807</v>
      </c>
      <c r="Q80" s="9" t="s">
        <v>808</v>
      </c>
      <c r="R80" s="9" t="s">
        <v>8</v>
      </c>
      <c r="S80" s="10" t="n">
        <v>46291</v>
      </c>
      <c r="T80" s="8" t="s">
        <v>57</v>
      </c>
      <c r="U80" s="10"/>
      <c r="V80" s="9" t="s">
        <v>58</v>
      </c>
    </row>
    <row r="81" customFormat="false" ht="34.5" hidden="false" customHeight="true" outlineLevel="0" collapsed="false">
      <c r="A81" s="8" t="n">
        <v>80</v>
      </c>
      <c r="B81" s="8" t="s">
        <v>777</v>
      </c>
      <c r="C81" s="8" t="s">
        <v>809</v>
      </c>
      <c r="D81" s="9" t="s">
        <v>19</v>
      </c>
      <c r="E81" s="9" t="s">
        <v>810</v>
      </c>
      <c r="F81" s="9" t="s">
        <v>811</v>
      </c>
      <c r="G81" s="9" t="s">
        <v>812</v>
      </c>
      <c r="H81" s="9" t="s">
        <v>813</v>
      </c>
      <c r="I81" s="9" t="s">
        <v>814</v>
      </c>
      <c r="J81" s="9" t="s">
        <v>815</v>
      </c>
      <c r="K81" s="9" t="s">
        <v>816</v>
      </c>
      <c r="L81" s="9" t="s">
        <v>817</v>
      </c>
      <c r="M81" s="9" t="s">
        <v>817</v>
      </c>
      <c r="N81" s="8" t="s">
        <v>53</v>
      </c>
      <c r="O81" s="9" t="s">
        <v>818</v>
      </c>
      <c r="P81" s="9" t="s">
        <v>819</v>
      </c>
      <c r="Q81" s="9" t="s">
        <v>820</v>
      </c>
      <c r="R81" s="9" t="s">
        <v>8</v>
      </c>
      <c r="S81" s="10" t="n">
        <v>46291</v>
      </c>
      <c r="T81" s="8" t="s">
        <v>57</v>
      </c>
      <c r="U81" s="10"/>
      <c r="V81" s="9" t="s">
        <v>58</v>
      </c>
    </row>
    <row r="82" customFormat="false" ht="34.5" hidden="false" customHeight="true" outlineLevel="0" collapsed="false">
      <c r="A82" s="8" t="n">
        <v>81</v>
      </c>
      <c r="B82" s="8" t="s">
        <v>777</v>
      </c>
      <c r="C82" s="8" t="s">
        <v>788</v>
      </c>
      <c r="D82" s="9" t="s">
        <v>22</v>
      </c>
      <c r="E82" s="9" t="s">
        <v>821</v>
      </c>
      <c r="F82" s="9" t="s">
        <v>822</v>
      </c>
      <c r="G82" s="9" t="s">
        <v>823</v>
      </c>
      <c r="H82" s="9" t="s">
        <v>824</v>
      </c>
      <c r="I82" s="9" t="s">
        <v>825</v>
      </c>
      <c r="J82" s="9" t="s">
        <v>826</v>
      </c>
      <c r="K82" s="9" t="s">
        <v>827</v>
      </c>
      <c r="L82" s="9" t="s">
        <v>828</v>
      </c>
      <c r="M82" s="9" t="s">
        <v>828</v>
      </c>
      <c r="N82" s="8" t="s">
        <v>53</v>
      </c>
      <c r="O82" s="9" t="s">
        <v>76</v>
      </c>
      <c r="P82" s="9" t="s">
        <v>829</v>
      </c>
      <c r="Q82" s="9" t="s">
        <v>78</v>
      </c>
      <c r="R82" s="9" t="s">
        <v>8</v>
      </c>
      <c r="S82" s="10" t="n">
        <v>46291</v>
      </c>
      <c r="T82" s="8" t="s">
        <v>68</v>
      </c>
      <c r="U82" s="10" t="n">
        <v>46291</v>
      </c>
      <c r="V82" s="9" t="s">
        <v>79</v>
      </c>
    </row>
    <row r="83" customFormat="false" ht="34.5" hidden="false" customHeight="true" outlineLevel="0" collapsed="false">
      <c r="A83" s="8" t="n">
        <v>82</v>
      </c>
      <c r="B83" s="8" t="s">
        <v>830</v>
      </c>
      <c r="C83" s="8" t="s">
        <v>830</v>
      </c>
      <c r="D83" s="9" t="s">
        <v>21</v>
      </c>
      <c r="E83" s="9" t="s">
        <v>831</v>
      </c>
      <c r="F83" s="9" t="s">
        <v>832</v>
      </c>
      <c r="G83" s="9" t="s">
        <v>833</v>
      </c>
      <c r="H83" s="9" t="s">
        <v>612</v>
      </c>
      <c r="I83" s="9" t="s">
        <v>834</v>
      </c>
      <c r="J83" s="9"/>
      <c r="K83" s="9" t="s">
        <v>835</v>
      </c>
      <c r="L83" s="9" t="s">
        <v>836</v>
      </c>
      <c r="M83" s="9" t="s">
        <v>836</v>
      </c>
      <c r="N83" s="8" t="s">
        <v>53</v>
      </c>
      <c r="O83" s="9" t="s">
        <v>141</v>
      </c>
      <c r="P83" s="9" t="s">
        <v>837</v>
      </c>
      <c r="Q83" s="9" t="s">
        <v>143</v>
      </c>
      <c r="R83" s="9" t="s">
        <v>8</v>
      </c>
      <c r="S83" s="10" t="n">
        <v>46291</v>
      </c>
      <c r="T83" s="8" t="s">
        <v>68</v>
      </c>
      <c r="U83" s="10" t="n">
        <v>46291</v>
      </c>
      <c r="V83" s="9" t="s">
        <v>144</v>
      </c>
    </row>
    <row r="84" customFormat="false" ht="34.5" hidden="false" customHeight="true" outlineLevel="0" collapsed="false">
      <c r="A84" s="8" t="n">
        <v>83</v>
      </c>
      <c r="B84" s="8" t="s">
        <v>830</v>
      </c>
      <c r="C84" s="8" t="s">
        <v>830</v>
      </c>
      <c r="D84" s="9" t="s">
        <v>21</v>
      </c>
      <c r="E84" s="9" t="s">
        <v>838</v>
      </c>
      <c r="F84" s="9" t="s">
        <v>839</v>
      </c>
      <c r="G84" s="9" t="s">
        <v>840</v>
      </c>
      <c r="H84" s="9" t="s">
        <v>380</v>
      </c>
      <c r="I84" s="9" t="s">
        <v>841</v>
      </c>
      <c r="J84" s="9"/>
      <c r="K84" s="9" t="s">
        <v>842</v>
      </c>
      <c r="L84" s="9" t="s">
        <v>843</v>
      </c>
      <c r="M84" s="9" t="s">
        <v>843</v>
      </c>
      <c r="N84" s="8" t="s">
        <v>88</v>
      </c>
      <c r="O84" s="9" t="s">
        <v>844</v>
      </c>
      <c r="P84" s="9" t="s">
        <v>845</v>
      </c>
      <c r="Q84" s="9" t="s">
        <v>846</v>
      </c>
      <c r="R84" s="9" t="s">
        <v>8</v>
      </c>
      <c r="S84" s="10" t="n">
        <v>46291</v>
      </c>
      <c r="T84" s="8" t="s">
        <v>68</v>
      </c>
      <c r="U84" s="10" t="n">
        <v>46291</v>
      </c>
      <c r="V84" s="9"/>
    </row>
    <row r="85" customFormat="false" ht="34.5" hidden="false" customHeight="true" outlineLevel="0" collapsed="false">
      <c r="A85" s="8" t="n">
        <v>84</v>
      </c>
      <c r="B85" s="8" t="s">
        <v>830</v>
      </c>
      <c r="C85" s="8" t="s">
        <v>830</v>
      </c>
      <c r="D85" s="9" t="s">
        <v>22</v>
      </c>
      <c r="E85" s="9" t="s">
        <v>847</v>
      </c>
      <c r="F85" s="9" t="s">
        <v>848</v>
      </c>
      <c r="G85" s="9" t="s">
        <v>849</v>
      </c>
      <c r="H85" s="9" t="s">
        <v>850</v>
      </c>
      <c r="I85" s="9"/>
      <c r="J85" s="9"/>
      <c r="K85" s="9" t="s">
        <v>851</v>
      </c>
      <c r="L85" s="9" t="s">
        <v>852</v>
      </c>
      <c r="M85" s="9" t="s">
        <v>852</v>
      </c>
      <c r="N85" s="8" t="s">
        <v>88</v>
      </c>
      <c r="O85" s="9" t="s">
        <v>76</v>
      </c>
      <c r="P85" s="9" t="s">
        <v>853</v>
      </c>
      <c r="Q85" s="9" t="s">
        <v>78</v>
      </c>
      <c r="R85" s="9" t="s">
        <v>12</v>
      </c>
      <c r="S85" s="10" t="n">
        <v>46291</v>
      </c>
      <c r="T85" s="8" t="s">
        <v>224</v>
      </c>
      <c r="U85" s="10"/>
      <c r="V85" s="9" t="s">
        <v>518</v>
      </c>
    </row>
    <row r="86" customFormat="false" ht="34.5" hidden="false" customHeight="true" outlineLevel="0" collapsed="false">
      <c r="A86" s="8" t="n">
        <v>85</v>
      </c>
      <c r="B86" s="8" t="s">
        <v>854</v>
      </c>
      <c r="C86" s="8" t="s">
        <v>855</v>
      </c>
      <c r="D86" s="9" t="s">
        <v>21</v>
      </c>
      <c r="E86" s="9" t="s">
        <v>856</v>
      </c>
      <c r="F86" s="9" t="s">
        <v>857</v>
      </c>
      <c r="G86" s="9" t="s">
        <v>858</v>
      </c>
      <c r="H86" s="9" t="s">
        <v>282</v>
      </c>
      <c r="I86" s="9" t="s">
        <v>859</v>
      </c>
      <c r="J86" s="9"/>
      <c r="K86" s="9"/>
      <c r="L86" s="9" t="s">
        <v>860</v>
      </c>
      <c r="M86" s="9" t="s">
        <v>860</v>
      </c>
      <c r="N86" s="8" t="s">
        <v>53</v>
      </c>
      <c r="O86" s="9" t="s">
        <v>861</v>
      </c>
      <c r="P86" s="9" t="s">
        <v>862</v>
      </c>
      <c r="Q86" s="9" t="s">
        <v>863</v>
      </c>
      <c r="R86" s="9" t="s">
        <v>8</v>
      </c>
      <c r="S86" s="10" t="n">
        <v>46291</v>
      </c>
      <c r="T86" s="8" t="s">
        <v>57</v>
      </c>
      <c r="U86" s="10"/>
      <c r="V86" s="9" t="s">
        <v>58</v>
      </c>
    </row>
    <row r="87" customFormat="false" ht="34.5" hidden="false" customHeight="true" outlineLevel="0" collapsed="false">
      <c r="A87" s="8" t="n">
        <v>86</v>
      </c>
      <c r="B87" s="8" t="s">
        <v>854</v>
      </c>
      <c r="C87" s="8" t="s">
        <v>864</v>
      </c>
      <c r="D87" s="9" t="s">
        <v>19</v>
      </c>
      <c r="E87" s="9" t="s">
        <v>865</v>
      </c>
      <c r="F87" s="9" t="s">
        <v>866</v>
      </c>
      <c r="G87" s="9" t="s">
        <v>867</v>
      </c>
      <c r="H87" s="9" t="s">
        <v>868</v>
      </c>
      <c r="I87" s="9" t="s">
        <v>869</v>
      </c>
      <c r="J87" s="9" t="s">
        <v>870</v>
      </c>
      <c r="K87" s="9" t="s">
        <v>871</v>
      </c>
      <c r="L87" s="9" t="s">
        <v>872</v>
      </c>
      <c r="M87" s="9" t="s">
        <v>872</v>
      </c>
      <c r="N87" s="8" t="s">
        <v>53</v>
      </c>
      <c r="O87" s="9" t="s">
        <v>873</v>
      </c>
      <c r="P87" s="9" t="s">
        <v>874</v>
      </c>
      <c r="Q87" s="9" t="s">
        <v>875</v>
      </c>
      <c r="R87" s="9" t="s">
        <v>10</v>
      </c>
      <c r="S87" s="10" t="n">
        <v>46291</v>
      </c>
      <c r="T87" s="8" t="s">
        <v>224</v>
      </c>
      <c r="U87" s="10"/>
      <c r="V87" s="9" t="s">
        <v>876</v>
      </c>
    </row>
    <row r="88" customFormat="false" ht="34.5" hidden="false" customHeight="true" outlineLevel="0" collapsed="false">
      <c r="A88" s="8" t="n">
        <v>87</v>
      </c>
      <c r="B88" s="8" t="s">
        <v>854</v>
      </c>
      <c r="C88" s="8" t="s">
        <v>877</v>
      </c>
      <c r="D88" s="9" t="s">
        <v>19</v>
      </c>
      <c r="E88" s="9" t="s">
        <v>878</v>
      </c>
      <c r="F88" s="9" t="s">
        <v>879</v>
      </c>
      <c r="G88" s="9" t="s">
        <v>880</v>
      </c>
      <c r="H88" s="9" t="s">
        <v>881</v>
      </c>
      <c r="I88" s="9" t="s">
        <v>882</v>
      </c>
      <c r="J88" s="9" t="s">
        <v>883</v>
      </c>
      <c r="K88" s="9"/>
      <c r="L88" s="9" t="s">
        <v>884</v>
      </c>
      <c r="M88" s="9" t="s">
        <v>884</v>
      </c>
      <c r="N88" s="8" t="s">
        <v>53</v>
      </c>
      <c r="O88" s="9" t="s">
        <v>234</v>
      </c>
      <c r="P88" s="9" t="s">
        <v>885</v>
      </c>
      <c r="Q88" s="9" t="s">
        <v>143</v>
      </c>
      <c r="R88" s="9" t="s">
        <v>8</v>
      </c>
      <c r="S88" s="10" t="n">
        <v>46291</v>
      </c>
      <c r="T88" s="8" t="s">
        <v>68</v>
      </c>
      <c r="U88" s="10" t="n">
        <v>46291</v>
      </c>
      <c r="V88" s="9" t="s">
        <v>144</v>
      </c>
    </row>
    <row r="89" customFormat="false" ht="34.5" hidden="false" customHeight="true" outlineLevel="0" collapsed="false">
      <c r="A89" s="8" t="n">
        <v>88</v>
      </c>
      <c r="B89" s="8" t="s">
        <v>854</v>
      </c>
      <c r="C89" s="8" t="s">
        <v>347</v>
      </c>
      <c r="D89" s="9" t="s">
        <v>22</v>
      </c>
      <c r="E89" s="9" t="s">
        <v>886</v>
      </c>
      <c r="F89" s="9" t="s">
        <v>94</v>
      </c>
      <c r="G89" s="9" t="s">
        <v>887</v>
      </c>
      <c r="H89" s="9" t="s">
        <v>72</v>
      </c>
      <c r="I89" s="9" t="s">
        <v>888</v>
      </c>
      <c r="J89" s="9" t="s">
        <v>889</v>
      </c>
      <c r="K89" s="9" t="s">
        <v>890</v>
      </c>
      <c r="L89" s="9" t="s">
        <v>891</v>
      </c>
      <c r="M89" s="9" t="s">
        <v>891</v>
      </c>
      <c r="N89" s="8" t="s">
        <v>53</v>
      </c>
      <c r="O89" s="9" t="s">
        <v>76</v>
      </c>
      <c r="P89" s="9" t="s">
        <v>99</v>
      </c>
      <c r="Q89" s="9" t="s">
        <v>78</v>
      </c>
      <c r="R89" s="9" t="s">
        <v>10</v>
      </c>
      <c r="S89" s="10" t="n">
        <v>46291</v>
      </c>
      <c r="T89" s="8" t="s">
        <v>68</v>
      </c>
      <c r="U89" s="10" t="n">
        <v>46291</v>
      </c>
      <c r="V89" s="9" t="s">
        <v>79</v>
      </c>
    </row>
    <row r="90" customFormat="false" ht="34.5" hidden="false" customHeight="true" outlineLevel="0" collapsed="false">
      <c r="A90" s="8" t="n">
        <v>89</v>
      </c>
      <c r="B90" s="8" t="s">
        <v>892</v>
      </c>
      <c r="C90" s="8" t="s">
        <v>893</v>
      </c>
      <c r="D90" s="9" t="s">
        <v>21</v>
      </c>
      <c r="E90" s="9" t="s">
        <v>894</v>
      </c>
      <c r="F90" s="9" t="s">
        <v>895</v>
      </c>
      <c r="G90" s="9" t="s">
        <v>896</v>
      </c>
      <c r="H90" s="9" t="s">
        <v>897</v>
      </c>
      <c r="I90" s="9" t="s">
        <v>898</v>
      </c>
      <c r="J90" s="9" t="s">
        <v>899</v>
      </c>
      <c r="K90" s="9" t="s">
        <v>900</v>
      </c>
      <c r="L90" s="9" t="s">
        <v>901</v>
      </c>
      <c r="M90" s="9" t="s">
        <v>901</v>
      </c>
      <c r="N90" s="8" t="s">
        <v>88</v>
      </c>
      <c r="O90" s="9" t="s">
        <v>902</v>
      </c>
      <c r="P90" s="9" t="s">
        <v>903</v>
      </c>
      <c r="Q90" s="9" t="s">
        <v>904</v>
      </c>
      <c r="R90" s="9" t="s">
        <v>10</v>
      </c>
      <c r="S90" s="10" t="n">
        <v>46291</v>
      </c>
      <c r="T90" s="8" t="s">
        <v>68</v>
      </c>
      <c r="U90" s="10" t="n">
        <v>46291</v>
      </c>
      <c r="V90" s="9"/>
    </row>
    <row r="91" customFormat="false" ht="34.5" hidden="false" customHeight="true" outlineLevel="0" collapsed="false">
      <c r="A91" s="8" t="n">
        <v>90</v>
      </c>
      <c r="B91" s="8" t="s">
        <v>892</v>
      </c>
      <c r="C91" s="8" t="s">
        <v>905</v>
      </c>
      <c r="D91" s="9" t="s">
        <v>20</v>
      </c>
      <c r="E91" s="9" t="s">
        <v>906</v>
      </c>
      <c r="F91" s="9" t="s">
        <v>907</v>
      </c>
      <c r="G91" s="9" t="s">
        <v>908</v>
      </c>
      <c r="H91" s="9" t="s">
        <v>116</v>
      </c>
      <c r="I91" s="9" t="s">
        <v>909</v>
      </c>
      <c r="J91" s="9"/>
      <c r="K91" s="9"/>
      <c r="L91" s="9" t="s">
        <v>910</v>
      </c>
      <c r="M91" s="9" t="s">
        <v>910</v>
      </c>
      <c r="N91" s="8" t="s">
        <v>53</v>
      </c>
      <c r="O91" s="9" t="s">
        <v>911</v>
      </c>
      <c r="P91" s="9" t="s">
        <v>912</v>
      </c>
      <c r="Q91" s="9" t="s">
        <v>913</v>
      </c>
      <c r="R91" s="9" t="s">
        <v>10</v>
      </c>
      <c r="S91" s="10" t="n">
        <v>46291</v>
      </c>
      <c r="T91" s="8" t="s">
        <v>57</v>
      </c>
      <c r="U91" s="10"/>
      <c r="V91" s="9" t="s">
        <v>58</v>
      </c>
    </row>
    <row r="92" customFormat="false" ht="34.5" hidden="false" customHeight="true" outlineLevel="0" collapsed="false">
      <c r="A92" s="8" t="n">
        <v>91</v>
      </c>
      <c r="B92" s="8" t="s">
        <v>892</v>
      </c>
      <c r="C92" s="8" t="s">
        <v>914</v>
      </c>
      <c r="D92" s="9" t="s">
        <v>19</v>
      </c>
      <c r="E92" s="9" t="s">
        <v>915</v>
      </c>
      <c r="F92" s="9" t="s">
        <v>916</v>
      </c>
      <c r="G92" s="9" t="s">
        <v>917</v>
      </c>
      <c r="H92" s="9" t="s">
        <v>116</v>
      </c>
      <c r="I92" s="9" t="s">
        <v>918</v>
      </c>
      <c r="J92" s="9"/>
      <c r="K92" s="9" t="s">
        <v>919</v>
      </c>
      <c r="L92" s="9" t="s">
        <v>920</v>
      </c>
      <c r="M92" s="9" t="s">
        <v>920</v>
      </c>
      <c r="N92" s="8" t="s">
        <v>53</v>
      </c>
      <c r="O92" s="9" t="s">
        <v>921</v>
      </c>
      <c r="P92" s="9" t="s">
        <v>922</v>
      </c>
      <c r="Q92" s="9" t="s">
        <v>923</v>
      </c>
      <c r="R92" s="9" t="s">
        <v>10</v>
      </c>
      <c r="S92" s="10" t="n">
        <v>46291</v>
      </c>
      <c r="T92" s="8" t="s">
        <v>68</v>
      </c>
      <c r="U92" s="10" t="n">
        <v>46291</v>
      </c>
      <c r="V92" s="9"/>
    </row>
    <row r="93" customFormat="false" ht="34.5" hidden="false" customHeight="true" outlineLevel="0" collapsed="false">
      <c r="A93" s="8" t="n">
        <v>92</v>
      </c>
      <c r="B93" s="8" t="s">
        <v>892</v>
      </c>
      <c r="C93" s="8" t="s">
        <v>893</v>
      </c>
      <c r="D93" s="9" t="s">
        <v>19</v>
      </c>
      <c r="E93" s="9" t="s">
        <v>924</v>
      </c>
      <c r="F93" s="9" t="s">
        <v>925</v>
      </c>
      <c r="G93" s="9" t="s">
        <v>926</v>
      </c>
      <c r="H93" s="9" t="s">
        <v>116</v>
      </c>
      <c r="I93" s="9" t="s">
        <v>927</v>
      </c>
      <c r="J93" s="9"/>
      <c r="K93" s="9" t="s">
        <v>928</v>
      </c>
      <c r="L93" s="9" t="s">
        <v>929</v>
      </c>
      <c r="M93" s="9" t="s">
        <v>929</v>
      </c>
      <c r="N93" s="8" t="s">
        <v>53</v>
      </c>
      <c r="O93" s="9" t="s">
        <v>930</v>
      </c>
      <c r="P93" s="9" t="s">
        <v>931</v>
      </c>
      <c r="Q93" s="9" t="s">
        <v>932</v>
      </c>
      <c r="R93" s="9" t="s">
        <v>10</v>
      </c>
      <c r="S93" s="10" t="n">
        <v>46291</v>
      </c>
      <c r="T93" s="8" t="s">
        <v>57</v>
      </c>
      <c r="U93" s="10"/>
      <c r="V93" s="9" t="s">
        <v>58</v>
      </c>
    </row>
    <row r="94" customFormat="false" ht="34.5" hidden="false" customHeight="true" outlineLevel="0" collapsed="false">
      <c r="A94" s="8" t="n">
        <v>93</v>
      </c>
      <c r="B94" s="8" t="s">
        <v>892</v>
      </c>
      <c r="C94" s="8" t="s">
        <v>893</v>
      </c>
      <c r="D94" s="9" t="s">
        <v>22</v>
      </c>
      <c r="E94" s="9" t="s">
        <v>933</v>
      </c>
      <c r="F94" s="9" t="s">
        <v>94</v>
      </c>
      <c r="G94" s="9" t="s">
        <v>934</v>
      </c>
      <c r="H94" s="9" t="s">
        <v>935</v>
      </c>
      <c r="I94" s="9" t="s">
        <v>936</v>
      </c>
      <c r="J94" s="9" t="s">
        <v>937</v>
      </c>
      <c r="K94" s="9" t="s">
        <v>938</v>
      </c>
      <c r="L94" s="9" t="s">
        <v>939</v>
      </c>
      <c r="M94" s="9" t="s">
        <v>939</v>
      </c>
      <c r="N94" s="8" t="s">
        <v>53</v>
      </c>
      <c r="O94" s="9" t="s">
        <v>76</v>
      </c>
      <c r="P94" s="9" t="s">
        <v>99</v>
      </c>
      <c r="Q94" s="9" t="s">
        <v>78</v>
      </c>
      <c r="R94" s="9" t="s">
        <v>8</v>
      </c>
      <c r="S94" s="10" t="n">
        <v>46291</v>
      </c>
      <c r="T94" s="8" t="s">
        <v>68</v>
      </c>
      <c r="U94" s="10" t="n">
        <v>46291</v>
      </c>
      <c r="V94" s="9" t="s">
        <v>79</v>
      </c>
    </row>
    <row r="95" customFormat="false" ht="34.5" hidden="false" customHeight="true" outlineLevel="0" collapsed="false">
      <c r="A95" s="8" t="n">
        <v>94</v>
      </c>
      <c r="B95" s="8" t="s">
        <v>940</v>
      </c>
      <c r="C95" s="8" t="s">
        <v>941</v>
      </c>
      <c r="D95" s="9" t="s">
        <v>19</v>
      </c>
      <c r="E95" s="9" t="s">
        <v>942</v>
      </c>
      <c r="F95" s="9" t="s">
        <v>943</v>
      </c>
      <c r="G95" s="9" t="s">
        <v>944</v>
      </c>
      <c r="H95" s="9" t="s">
        <v>282</v>
      </c>
      <c r="I95" s="9" t="s">
        <v>945</v>
      </c>
      <c r="J95" s="9" t="s">
        <v>946</v>
      </c>
      <c r="K95" s="9" t="s">
        <v>947</v>
      </c>
      <c r="L95" s="9" t="s">
        <v>948</v>
      </c>
      <c r="M95" s="9" t="s">
        <v>948</v>
      </c>
      <c r="N95" s="8" t="s">
        <v>53</v>
      </c>
      <c r="O95" s="9" t="s">
        <v>949</v>
      </c>
      <c r="P95" s="9" t="s">
        <v>950</v>
      </c>
      <c r="Q95" s="9" t="s">
        <v>951</v>
      </c>
      <c r="R95" s="9" t="s">
        <v>8</v>
      </c>
      <c r="S95" s="10" t="n">
        <v>46291</v>
      </c>
      <c r="T95" s="8" t="s">
        <v>57</v>
      </c>
      <c r="U95" s="10"/>
      <c r="V95" s="9" t="s">
        <v>58</v>
      </c>
    </row>
    <row r="96" customFormat="false" ht="34.5" hidden="false" customHeight="true" outlineLevel="0" collapsed="false">
      <c r="A96" s="8" t="n">
        <v>95</v>
      </c>
      <c r="B96" s="8" t="s">
        <v>940</v>
      </c>
      <c r="C96" s="8" t="s">
        <v>952</v>
      </c>
      <c r="D96" s="9" t="s">
        <v>22</v>
      </c>
      <c r="E96" s="9" t="s">
        <v>953</v>
      </c>
      <c r="F96" s="9" t="s">
        <v>954</v>
      </c>
      <c r="G96" s="9" t="s">
        <v>955</v>
      </c>
      <c r="H96" s="9" t="s">
        <v>72</v>
      </c>
      <c r="I96" s="9" t="s">
        <v>956</v>
      </c>
      <c r="J96" s="9"/>
      <c r="K96" s="9" t="s">
        <v>957</v>
      </c>
      <c r="L96" s="9" t="s">
        <v>958</v>
      </c>
      <c r="M96" s="9" t="s">
        <v>958</v>
      </c>
      <c r="N96" s="8" t="s">
        <v>88</v>
      </c>
      <c r="O96" s="9" t="s">
        <v>76</v>
      </c>
      <c r="P96" s="9" t="s">
        <v>959</v>
      </c>
      <c r="Q96" s="9" t="s">
        <v>78</v>
      </c>
      <c r="R96" s="9" t="s">
        <v>10</v>
      </c>
      <c r="S96" s="10" t="n">
        <v>46291</v>
      </c>
      <c r="T96" s="8" t="s">
        <v>68</v>
      </c>
      <c r="U96" s="10" t="n">
        <v>46291</v>
      </c>
      <c r="V96" s="9" t="s">
        <v>79</v>
      </c>
    </row>
    <row r="97" customFormat="false" ht="34.5" hidden="false" customHeight="true" outlineLevel="0" collapsed="false">
      <c r="A97" s="8" t="n">
        <v>96</v>
      </c>
      <c r="B97" s="8" t="s">
        <v>960</v>
      </c>
      <c r="C97" s="8" t="s">
        <v>961</v>
      </c>
      <c r="D97" s="9" t="s">
        <v>21</v>
      </c>
      <c r="E97" s="9" t="s">
        <v>962</v>
      </c>
      <c r="F97" s="9" t="s">
        <v>963</v>
      </c>
      <c r="G97" s="9" t="s">
        <v>964</v>
      </c>
      <c r="H97" s="9" t="s">
        <v>116</v>
      </c>
      <c r="I97" s="9" t="s">
        <v>965</v>
      </c>
      <c r="J97" s="9"/>
      <c r="K97" s="9" t="s">
        <v>966</v>
      </c>
      <c r="L97" s="9" t="s">
        <v>967</v>
      </c>
      <c r="M97" s="9" t="s">
        <v>967</v>
      </c>
      <c r="N97" s="8" t="s">
        <v>53</v>
      </c>
      <c r="O97" s="9" t="s">
        <v>968</v>
      </c>
      <c r="P97" s="9" t="s">
        <v>969</v>
      </c>
      <c r="Q97" s="9" t="s">
        <v>970</v>
      </c>
      <c r="R97" s="9" t="s">
        <v>10</v>
      </c>
      <c r="S97" s="10" t="n">
        <v>46291</v>
      </c>
      <c r="T97" s="8" t="s">
        <v>224</v>
      </c>
      <c r="U97" s="10"/>
      <c r="V97" s="9" t="s">
        <v>971</v>
      </c>
    </row>
    <row r="98" customFormat="false" ht="34.5" hidden="false" customHeight="true" outlineLevel="0" collapsed="false">
      <c r="A98" s="8" t="n">
        <v>97</v>
      </c>
      <c r="B98" s="8" t="s">
        <v>960</v>
      </c>
      <c r="C98" s="8" t="s">
        <v>972</v>
      </c>
      <c r="D98" s="9" t="s">
        <v>21</v>
      </c>
      <c r="E98" s="9" t="s">
        <v>973</v>
      </c>
      <c r="F98" s="9" t="s">
        <v>974</v>
      </c>
      <c r="G98" s="9" t="s">
        <v>975</v>
      </c>
      <c r="H98" s="9" t="s">
        <v>683</v>
      </c>
      <c r="I98" s="9" t="s">
        <v>976</v>
      </c>
      <c r="J98" s="9"/>
      <c r="K98" s="9" t="s">
        <v>977</v>
      </c>
      <c r="L98" s="9" t="s">
        <v>978</v>
      </c>
      <c r="M98" s="9" t="s">
        <v>978</v>
      </c>
      <c r="N98" s="8" t="s">
        <v>53</v>
      </c>
      <c r="O98" s="9" t="s">
        <v>141</v>
      </c>
      <c r="P98" s="9" t="s">
        <v>979</v>
      </c>
      <c r="Q98" s="9" t="s">
        <v>143</v>
      </c>
      <c r="R98" s="9" t="s">
        <v>10</v>
      </c>
      <c r="S98" s="10" t="n">
        <v>46291</v>
      </c>
      <c r="T98" s="8" t="s">
        <v>68</v>
      </c>
      <c r="U98" s="10" t="n">
        <v>46291</v>
      </c>
      <c r="V98" s="9" t="s">
        <v>144</v>
      </c>
    </row>
    <row r="99" customFormat="false" ht="34.5" hidden="false" customHeight="true" outlineLevel="0" collapsed="false">
      <c r="A99" s="8" t="n">
        <v>98</v>
      </c>
      <c r="B99" s="8" t="s">
        <v>960</v>
      </c>
      <c r="C99" s="8" t="s">
        <v>961</v>
      </c>
      <c r="D99" s="9" t="s">
        <v>21</v>
      </c>
      <c r="E99" s="9" t="s">
        <v>980</v>
      </c>
      <c r="F99" s="9" t="s">
        <v>981</v>
      </c>
      <c r="G99" s="9" t="s">
        <v>982</v>
      </c>
      <c r="H99" s="9" t="s">
        <v>683</v>
      </c>
      <c r="I99" s="9" t="s">
        <v>983</v>
      </c>
      <c r="J99" s="9"/>
      <c r="K99" s="9" t="s">
        <v>984</v>
      </c>
      <c r="L99" s="9" t="s">
        <v>985</v>
      </c>
      <c r="M99" s="9" t="s">
        <v>985</v>
      </c>
      <c r="N99" s="8" t="s">
        <v>53</v>
      </c>
      <c r="O99" s="9" t="s">
        <v>141</v>
      </c>
      <c r="P99" s="9" t="s">
        <v>986</v>
      </c>
      <c r="Q99" s="9" t="s">
        <v>143</v>
      </c>
      <c r="R99" s="9" t="s">
        <v>10</v>
      </c>
      <c r="S99" s="10" t="n">
        <v>46291</v>
      </c>
      <c r="T99" s="8" t="s">
        <v>68</v>
      </c>
      <c r="U99" s="10" t="n">
        <v>46291</v>
      </c>
      <c r="V99" s="9" t="s">
        <v>144</v>
      </c>
    </row>
    <row r="100" customFormat="false" ht="34.5" hidden="false" customHeight="true" outlineLevel="0" collapsed="false">
      <c r="A100" s="8" t="n">
        <v>99</v>
      </c>
      <c r="B100" s="8" t="s">
        <v>960</v>
      </c>
      <c r="C100" s="8" t="s">
        <v>987</v>
      </c>
      <c r="D100" s="9" t="s">
        <v>20</v>
      </c>
      <c r="E100" s="9" t="s">
        <v>988</v>
      </c>
      <c r="F100" s="9" t="s">
        <v>989</v>
      </c>
      <c r="G100" s="9" t="s">
        <v>990</v>
      </c>
      <c r="H100" s="9" t="s">
        <v>991</v>
      </c>
      <c r="I100" s="9" t="s">
        <v>992</v>
      </c>
      <c r="J100" s="9"/>
      <c r="K100" s="9" t="s">
        <v>993</v>
      </c>
      <c r="L100" s="9" t="s">
        <v>994</v>
      </c>
      <c r="M100" s="9" t="s">
        <v>994</v>
      </c>
      <c r="N100" s="8" t="s">
        <v>53</v>
      </c>
      <c r="O100" s="9" t="s">
        <v>345</v>
      </c>
      <c r="P100" s="9" t="s">
        <v>995</v>
      </c>
      <c r="Q100" s="9" t="s">
        <v>143</v>
      </c>
      <c r="R100" s="9" t="s">
        <v>8</v>
      </c>
      <c r="S100" s="10" t="n">
        <v>46291</v>
      </c>
      <c r="T100" s="8" t="s">
        <v>68</v>
      </c>
      <c r="U100" s="10" t="n">
        <v>46291</v>
      </c>
      <c r="V100" s="9" t="s">
        <v>144</v>
      </c>
    </row>
    <row r="101" customFormat="false" ht="34.5" hidden="false" customHeight="true" outlineLevel="0" collapsed="false">
      <c r="A101" s="8" t="n">
        <v>100</v>
      </c>
      <c r="B101" s="8" t="s">
        <v>960</v>
      </c>
      <c r="C101" s="8" t="s">
        <v>961</v>
      </c>
      <c r="D101" s="9" t="s">
        <v>19</v>
      </c>
      <c r="E101" s="9" t="s">
        <v>996</v>
      </c>
      <c r="F101" s="9" t="s">
        <v>997</v>
      </c>
      <c r="G101" s="9" t="s">
        <v>998</v>
      </c>
      <c r="H101" s="9" t="s">
        <v>116</v>
      </c>
      <c r="I101" s="9" t="s">
        <v>999</v>
      </c>
      <c r="J101" s="9"/>
      <c r="K101" s="9"/>
      <c r="L101" s="9" t="s">
        <v>64</v>
      </c>
      <c r="M101" s="9" t="s">
        <v>64</v>
      </c>
      <c r="N101" s="8" t="s">
        <v>53</v>
      </c>
      <c r="O101" s="9" t="s">
        <v>1000</v>
      </c>
      <c r="P101" s="9" t="s">
        <v>1001</v>
      </c>
      <c r="Q101" s="9" t="s">
        <v>1002</v>
      </c>
      <c r="R101" s="9" t="s">
        <v>10</v>
      </c>
      <c r="S101" s="10" t="n">
        <v>46291</v>
      </c>
      <c r="T101" s="8" t="s">
        <v>224</v>
      </c>
      <c r="U101" s="10"/>
      <c r="V101" s="9" t="s">
        <v>1003</v>
      </c>
    </row>
    <row r="102" customFormat="false" ht="34.5" hidden="false" customHeight="true" outlineLevel="0" collapsed="false">
      <c r="A102" s="8" t="n">
        <v>101</v>
      </c>
      <c r="B102" s="8" t="s">
        <v>960</v>
      </c>
      <c r="C102" s="8" t="s">
        <v>1004</v>
      </c>
      <c r="D102" s="9" t="s">
        <v>19</v>
      </c>
      <c r="E102" s="9" t="s">
        <v>1005</v>
      </c>
      <c r="F102" s="9" t="s">
        <v>1006</v>
      </c>
      <c r="G102" s="9" t="s">
        <v>1007</v>
      </c>
      <c r="H102" s="9" t="s">
        <v>1008</v>
      </c>
      <c r="I102" s="9" t="s">
        <v>1009</v>
      </c>
      <c r="J102" s="9" t="s">
        <v>1010</v>
      </c>
      <c r="K102" s="9" t="s">
        <v>1011</v>
      </c>
      <c r="L102" s="9" t="s">
        <v>1012</v>
      </c>
      <c r="M102" s="9" t="s">
        <v>1012</v>
      </c>
      <c r="N102" s="8" t="s">
        <v>53</v>
      </c>
      <c r="O102" s="9" t="s">
        <v>1013</v>
      </c>
      <c r="P102" s="9" t="s">
        <v>1014</v>
      </c>
      <c r="Q102" s="9" t="s">
        <v>1015</v>
      </c>
      <c r="R102" s="9" t="s">
        <v>8</v>
      </c>
      <c r="S102" s="10" t="n">
        <v>46291</v>
      </c>
      <c r="T102" s="8" t="s">
        <v>224</v>
      </c>
      <c r="U102" s="10"/>
      <c r="V102" s="9" t="s">
        <v>1016</v>
      </c>
    </row>
    <row r="103" customFormat="false" ht="34.5" hidden="false" customHeight="true" outlineLevel="0" collapsed="false">
      <c r="A103" s="8" t="n">
        <v>102</v>
      </c>
      <c r="B103" s="8" t="s">
        <v>960</v>
      </c>
      <c r="C103" s="8" t="s">
        <v>972</v>
      </c>
      <c r="D103" s="9" t="s">
        <v>19</v>
      </c>
      <c r="E103" s="9" t="s">
        <v>1017</v>
      </c>
      <c r="F103" s="9" t="s">
        <v>1018</v>
      </c>
      <c r="G103" s="9" t="s">
        <v>1019</v>
      </c>
      <c r="H103" s="9" t="s">
        <v>148</v>
      </c>
      <c r="I103" s="9" t="s">
        <v>1020</v>
      </c>
      <c r="J103" s="9"/>
      <c r="K103" s="9" t="s">
        <v>1021</v>
      </c>
      <c r="L103" s="9" t="s">
        <v>1022</v>
      </c>
      <c r="M103" s="9" t="s">
        <v>1022</v>
      </c>
      <c r="N103" s="8" t="s">
        <v>53</v>
      </c>
      <c r="O103" s="9" t="s">
        <v>1023</v>
      </c>
      <c r="P103" s="9" t="s">
        <v>1024</v>
      </c>
      <c r="Q103" s="9" t="s">
        <v>1025</v>
      </c>
      <c r="R103" s="9" t="s">
        <v>8</v>
      </c>
      <c r="S103" s="10" t="n">
        <v>46291</v>
      </c>
      <c r="T103" s="8" t="s">
        <v>57</v>
      </c>
      <c r="U103" s="10"/>
      <c r="V103" s="9" t="s">
        <v>58</v>
      </c>
    </row>
    <row r="104" customFormat="false" ht="34.5" hidden="false" customHeight="true" outlineLevel="0" collapsed="false">
      <c r="A104" s="8" t="n">
        <v>103</v>
      </c>
      <c r="B104" s="8" t="s">
        <v>960</v>
      </c>
      <c r="C104" s="8" t="s">
        <v>1026</v>
      </c>
      <c r="D104" s="9" t="s">
        <v>19</v>
      </c>
      <c r="E104" s="9" t="s">
        <v>1027</v>
      </c>
      <c r="F104" s="9" t="s">
        <v>1028</v>
      </c>
      <c r="G104" s="9" t="s">
        <v>1029</v>
      </c>
      <c r="H104" s="9" t="s">
        <v>148</v>
      </c>
      <c r="I104" s="9" t="s">
        <v>1030</v>
      </c>
      <c r="J104" s="9"/>
      <c r="K104" s="9" t="s">
        <v>1031</v>
      </c>
      <c r="L104" s="9" t="s">
        <v>1022</v>
      </c>
      <c r="M104" s="9" t="s">
        <v>1022</v>
      </c>
      <c r="N104" s="8" t="s">
        <v>88</v>
      </c>
      <c r="O104" s="9" t="s">
        <v>1032</v>
      </c>
      <c r="P104" s="9" t="s">
        <v>1033</v>
      </c>
      <c r="Q104" s="9" t="s">
        <v>1034</v>
      </c>
      <c r="R104" s="9" t="s">
        <v>8</v>
      </c>
      <c r="S104" s="10" t="n">
        <v>46291</v>
      </c>
      <c r="T104" s="8" t="s">
        <v>68</v>
      </c>
      <c r="U104" s="10" t="n">
        <v>46291</v>
      </c>
      <c r="V104" s="9"/>
    </row>
    <row r="105" customFormat="false" ht="34.5" hidden="false" customHeight="true" outlineLevel="0" collapsed="false">
      <c r="A105" s="8" t="n">
        <v>104</v>
      </c>
      <c r="B105" s="8" t="s">
        <v>960</v>
      </c>
      <c r="C105" s="8" t="s">
        <v>1035</v>
      </c>
      <c r="D105" s="9" t="s">
        <v>19</v>
      </c>
      <c r="E105" s="9" t="s">
        <v>1036</v>
      </c>
      <c r="F105" s="9" t="s">
        <v>1037</v>
      </c>
      <c r="G105" s="9" t="s">
        <v>1038</v>
      </c>
      <c r="H105" s="9" t="s">
        <v>1039</v>
      </c>
      <c r="I105" s="9" t="s">
        <v>1040</v>
      </c>
      <c r="J105" s="9" t="s">
        <v>1041</v>
      </c>
      <c r="K105" s="9" t="s">
        <v>1042</v>
      </c>
      <c r="L105" s="9" t="s">
        <v>1043</v>
      </c>
      <c r="M105" s="9" t="s">
        <v>1043</v>
      </c>
      <c r="N105" s="8" t="s">
        <v>53</v>
      </c>
      <c r="O105" s="9" t="s">
        <v>1044</v>
      </c>
      <c r="P105" s="9" t="s">
        <v>1045</v>
      </c>
      <c r="Q105" s="9" t="s">
        <v>1046</v>
      </c>
      <c r="R105" s="9" t="s">
        <v>8</v>
      </c>
      <c r="S105" s="10" t="n">
        <v>46291</v>
      </c>
      <c r="T105" s="8" t="s">
        <v>57</v>
      </c>
      <c r="U105" s="10"/>
      <c r="V105" s="9" t="s">
        <v>58</v>
      </c>
    </row>
    <row r="106" customFormat="false" ht="34.5" hidden="false" customHeight="true" outlineLevel="0" collapsed="false">
      <c r="A106" s="8" t="n">
        <v>105</v>
      </c>
      <c r="B106" s="8" t="s">
        <v>960</v>
      </c>
      <c r="C106" s="8" t="s">
        <v>961</v>
      </c>
      <c r="D106" s="9" t="s">
        <v>22</v>
      </c>
      <c r="E106" s="9" t="s">
        <v>1047</v>
      </c>
      <c r="F106" s="9" t="s">
        <v>1048</v>
      </c>
      <c r="G106" s="9" t="s">
        <v>1049</v>
      </c>
      <c r="H106" s="9" t="s">
        <v>1050</v>
      </c>
      <c r="I106" s="9" t="s">
        <v>1051</v>
      </c>
      <c r="J106" s="9" t="s">
        <v>1052</v>
      </c>
      <c r="K106" s="9" t="s">
        <v>1053</v>
      </c>
      <c r="L106" s="9" t="s">
        <v>1054</v>
      </c>
      <c r="M106" s="9" t="s">
        <v>1054</v>
      </c>
      <c r="N106" s="8" t="s">
        <v>53</v>
      </c>
      <c r="O106" s="9" t="s">
        <v>76</v>
      </c>
      <c r="P106" s="9" t="s">
        <v>1055</v>
      </c>
      <c r="Q106" s="9" t="s">
        <v>78</v>
      </c>
      <c r="R106" s="9" t="s">
        <v>10</v>
      </c>
      <c r="S106" s="10" t="n">
        <v>46291</v>
      </c>
      <c r="T106" s="8" t="s">
        <v>68</v>
      </c>
      <c r="U106" s="10" t="n">
        <v>46291</v>
      </c>
      <c r="V106" s="9" t="s">
        <v>79</v>
      </c>
    </row>
    <row r="107" customFormat="false" ht="34.5" hidden="false" customHeight="true" outlineLevel="0" collapsed="false">
      <c r="A107" s="8" t="n">
        <v>106</v>
      </c>
      <c r="B107" s="8" t="s">
        <v>1056</v>
      </c>
      <c r="C107" s="8" t="s">
        <v>1057</v>
      </c>
      <c r="D107" s="9" t="s">
        <v>21</v>
      </c>
      <c r="E107" s="9" t="s">
        <v>1058</v>
      </c>
      <c r="F107" s="9" t="s">
        <v>1059</v>
      </c>
      <c r="G107" s="9" t="s">
        <v>1060</v>
      </c>
      <c r="H107" s="9" t="s">
        <v>148</v>
      </c>
      <c r="I107" s="9" t="s">
        <v>1061</v>
      </c>
      <c r="J107" s="9"/>
      <c r="K107" s="9" t="s">
        <v>1062</v>
      </c>
      <c r="L107" s="9" t="s">
        <v>1063</v>
      </c>
      <c r="M107" s="9" t="s">
        <v>1063</v>
      </c>
      <c r="N107" s="8" t="s">
        <v>88</v>
      </c>
      <c r="O107" s="9" t="s">
        <v>141</v>
      </c>
      <c r="P107" s="9" t="s">
        <v>1064</v>
      </c>
      <c r="Q107" s="9" t="s">
        <v>143</v>
      </c>
      <c r="R107" s="9" t="s">
        <v>8</v>
      </c>
      <c r="S107" s="10" t="n">
        <v>46291</v>
      </c>
      <c r="T107" s="8" t="s">
        <v>68</v>
      </c>
      <c r="U107" s="10" t="n">
        <v>46291</v>
      </c>
      <c r="V107" s="9" t="s">
        <v>144</v>
      </c>
    </row>
    <row r="108" customFormat="false" ht="34.5" hidden="false" customHeight="true" outlineLevel="0" collapsed="false">
      <c r="A108" s="8" t="n">
        <v>107</v>
      </c>
      <c r="B108" s="8" t="s">
        <v>1056</v>
      </c>
      <c r="C108" s="8" t="s">
        <v>1057</v>
      </c>
      <c r="D108" s="9" t="s">
        <v>21</v>
      </c>
      <c r="E108" s="9" t="s">
        <v>1065</v>
      </c>
      <c r="F108" s="9" t="s">
        <v>1066</v>
      </c>
      <c r="G108" s="9" t="s">
        <v>1067</v>
      </c>
      <c r="H108" s="9" t="s">
        <v>1068</v>
      </c>
      <c r="I108" s="9" t="s">
        <v>1069</v>
      </c>
      <c r="J108" s="9" t="s">
        <v>1070</v>
      </c>
      <c r="K108" s="9"/>
      <c r="L108" s="9" t="s">
        <v>1071</v>
      </c>
      <c r="M108" s="9" t="s">
        <v>1071</v>
      </c>
      <c r="N108" s="8" t="s">
        <v>53</v>
      </c>
      <c r="O108" s="9" t="s">
        <v>141</v>
      </c>
      <c r="P108" s="9" t="s">
        <v>1072</v>
      </c>
      <c r="Q108" s="9" t="s">
        <v>143</v>
      </c>
      <c r="R108" s="9" t="s">
        <v>8</v>
      </c>
      <c r="S108" s="10" t="n">
        <v>46291</v>
      </c>
      <c r="T108" s="8" t="s">
        <v>68</v>
      </c>
      <c r="U108" s="10" t="n">
        <v>46291</v>
      </c>
      <c r="V108" s="9" t="s">
        <v>144</v>
      </c>
    </row>
    <row r="109" customFormat="false" ht="34.5" hidden="false" customHeight="true" outlineLevel="0" collapsed="false">
      <c r="A109" s="8" t="n">
        <v>108</v>
      </c>
      <c r="B109" s="8" t="s">
        <v>1056</v>
      </c>
      <c r="C109" s="8" t="s">
        <v>1057</v>
      </c>
      <c r="D109" s="9" t="s">
        <v>21</v>
      </c>
      <c r="E109" s="9" t="s">
        <v>1073</v>
      </c>
      <c r="F109" s="9" t="s">
        <v>1074</v>
      </c>
      <c r="G109" s="9" t="s">
        <v>1075</v>
      </c>
      <c r="H109" s="9" t="s">
        <v>116</v>
      </c>
      <c r="I109" s="9" t="s">
        <v>1076</v>
      </c>
      <c r="J109" s="9" t="s">
        <v>1077</v>
      </c>
      <c r="K109" s="9" t="s">
        <v>1078</v>
      </c>
      <c r="L109" s="9" t="s">
        <v>1079</v>
      </c>
      <c r="M109" s="9" t="s">
        <v>1079</v>
      </c>
      <c r="N109" s="8" t="s">
        <v>88</v>
      </c>
      <c r="O109" s="9" t="s">
        <v>1080</v>
      </c>
      <c r="P109" s="9" t="s">
        <v>1081</v>
      </c>
      <c r="Q109" s="9" t="s">
        <v>1082</v>
      </c>
      <c r="R109" s="9" t="s">
        <v>10</v>
      </c>
      <c r="S109" s="10" t="n">
        <v>46291</v>
      </c>
      <c r="T109" s="8" t="s">
        <v>68</v>
      </c>
      <c r="U109" s="10" t="n">
        <v>46291</v>
      </c>
      <c r="V109" s="9"/>
    </row>
    <row r="110" customFormat="false" ht="34.5" hidden="false" customHeight="true" outlineLevel="0" collapsed="false">
      <c r="A110" s="8" t="n">
        <v>109</v>
      </c>
      <c r="B110" s="8" t="s">
        <v>1056</v>
      </c>
      <c r="C110" s="8" t="s">
        <v>1057</v>
      </c>
      <c r="D110" s="9" t="s">
        <v>21</v>
      </c>
      <c r="E110" s="9" t="s">
        <v>1083</v>
      </c>
      <c r="F110" s="9" t="s">
        <v>1084</v>
      </c>
      <c r="G110" s="9" t="s">
        <v>1085</v>
      </c>
      <c r="H110" s="9" t="s">
        <v>282</v>
      </c>
      <c r="I110" s="9" t="s">
        <v>1086</v>
      </c>
      <c r="J110" s="9"/>
      <c r="K110" s="9" t="s">
        <v>1087</v>
      </c>
      <c r="L110" s="9" t="s">
        <v>1088</v>
      </c>
      <c r="M110" s="9" t="s">
        <v>1088</v>
      </c>
      <c r="N110" s="8" t="s">
        <v>53</v>
      </c>
      <c r="O110" s="9" t="s">
        <v>141</v>
      </c>
      <c r="P110" s="9" t="s">
        <v>1089</v>
      </c>
      <c r="Q110" s="9" t="s">
        <v>143</v>
      </c>
      <c r="R110" s="9" t="s">
        <v>8</v>
      </c>
      <c r="S110" s="10" t="n">
        <v>46291</v>
      </c>
      <c r="T110" s="8" t="s">
        <v>68</v>
      </c>
      <c r="U110" s="10" t="n">
        <v>46291</v>
      </c>
      <c r="V110" s="9" t="s">
        <v>144</v>
      </c>
    </row>
    <row r="111" customFormat="false" ht="34.5" hidden="false" customHeight="true" outlineLevel="0" collapsed="false">
      <c r="A111" s="8" t="n">
        <v>110</v>
      </c>
      <c r="B111" s="8" t="s">
        <v>1056</v>
      </c>
      <c r="C111" s="8" t="s">
        <v>1057</v>
      </c>
      <c r="D111" s="9" t="s">
        <v>20</v>
      </c>
      <c r="E111" s="9" t="s">
        <v>1090</v>
      </c>
      <c r="F111" s="9" t="s">
        <v>1091</v>
      </c>
      <c r="G111" s="9" t="s">
        <v>1092</v>
      </c>
      <c r="H111" s="9" t="s">
        <v>1093</v>
      </c>
      <c r="I111" s="9" t="s">
        <v>1094</v>
      </c>
      <c r="J111" s="9"/>
      <c r="K111" s="9" t="s">
        <v>1095</v>
      </c>
      <c r="L111" s="9" t="s">
        <v>1096</v>
      </c>
      <c r="M111" s="9" t="s">
        <v>1096</v>
      </c>
      <c r="N111" s="8" t="s">
        <v>53</v>
      </c>
      <c r="O111" s="9" t="s">
        <v>345</v>
      </c>
      <c r="P111" s="9" t="s">
        <v>1097</v>
      </c>
      <c r="Q111" s="9" t="s">
        <v>143</v>
      </c>
      <c r="R111" s="9" t="s">
        <v>10</v>
      </c>
      <c r="S111" s="10" t="n">
        <v>46291</v>
      </c>
      <c r="T111" s="8" t="s">
        <v>224</v>
      </c>
      <c r="U111" s="10"/>
      <c r="V111" s="9" t="s">
        <v>1098</v>
      </c>
    </row>
    <row r="112" customFormat="false" ht="34.5" hidden="false" customHeight="true" outlineLevel="0" collapsed="false">
      <c r="A112" s="8" t="n">
        <v>111</v>
      </c>
      <c r="B112" s="8" t="s">
        <v>1056</v>
      </c>
      <c r="C112" s="8" t="s">
        <v>1057</v>
      </c>
      <c r="D112" s="9" t="s">
        <v>19</v>
      </c>
      <c r="E112" s="9" t="s">
        <v>1099</v>
      </c>
      <c r="F112" s="9" t="s">
        <v>1100</v>
      </c>
      <c r="G112" s="9" t="s">
        <v>1101</v>
      </c>
      <c r="H112" s="9" t="s">
        <v>272</v>
      </c>
      <c r="I112" s="9" t="s">
        <v>1102</v>
      </c>
      <c r="J112" s="9" t="s">
        <v>1103</v>
      </c>
      <c r="K112" s="9"/>
      <c r="L112" s="9" t="s">
        <v>1104</v>
      </c>
      <c r="M112" s="9" t="s">
        <v>1104</v>
      </c>
      <c r="N112" s="8" t="s">
        <v>53</v>
      </c>
      <c r="O112" s="9" t="s">
        <v>1105</v>
      </c>
      <c r="P112" s="9" t="s">
        <v>1106</v>
      </c>
      <c r="Q112" s="9" t="s">
        <v>1107</v>
      </c>
      <c r="R112" s="9" t="s">
        <v>10</v>
      </c>
      <c r="S112" s="10" t="n">
        <v>46291</v>
      </c>
      <c r="T112" s="8" t="s">
        <v>57</v>
      </c>
      <c r="U112" s="10"/>
      <c r="V112" s="9" t="s">
        <v>58</v>
      </c>
    </row>
    <row r="113" customFormat="false" ht="34.5" hidden="false" customHeight="true" outlineLevel="0" collapsed="false">
      <c r="A113" s="8" t="n">
        <v>112</v>
      </c>
      <c r="B113" s="8" t="s">
        <v>1056</v>
      </c>
      <c r="C113" s="8" t="s">
        <v>1057</v>
      </c>
      <c r="D113" s="9" t="s">
        <v>19</v>
      </c>
      <c r="E113" s="9" t="s">
        <v>1108</v>
      </c>
      <c r="F113" s="9" t="s">
        <v>1109</v>
      </c>
      <c r="G113" s="9" t="s">
        <v>1110</v>
      </c>
      <c r="H113" s="9" t="s">
        <v>116</v>
      </c>
      <c r="I113" s="9" t="s">
        <v>1111</v>
      </c>
      <c r="J113" s="9"/>
      <c r="K113" s="9" t="s">
        <v>1112</v>
      </c>
      <c r="L113" s="9" t="s">
        <v>1113</v>
      </c>
      <c r="M113" s="9" t="s">
        <v>1113</v>
      </c>
      <c r="N113" s="8" t="s">
        <v>53</v>
      </c>
      <c r="O113" s="9" t="s">
        <v>1114</v>
      </c>
      <c r="P113" s="9" t="s">
        <v>1115</v>
      </c>
      <c r="Q113" s="9" t="s">
        <v>1116</v>
      </c>
      <c r="R113" s="9" t="s">
        <v>10</v>
      </c>
      <c r="S113" s="10" t="n">
        <v>46291</v>
      </c>
      <c r="T113" s="8" t="s">
        <v>57</v>
      </c>
      <c r="U113" s="10"/>
      <c r="V113" s="9" t="s">
        <v>58</v>
      </c>
    </row>
    <row r="114" customFormat="false" ht="34.5" hidden="false" customHeight="true" outlineLevel="0" collapsed="false">
      <c r="A114" s="8" t="n">
        <v>113</v>
      </c>
      <c r="B114" s="8" t="s">
        <v>1056</v>
      </c>
      <c r="C114" s="8" t="s">
        <v>1057</v>
      </c>
      <c r="D114" s="9" t="s">
        <v>22</v>
      </c>
      <c r="E114" s="9" t="s">
        <v>1117</v>
      </c>
      <c r="F114" s="9" t="s">
        <v>1118</v>
      </c>
      <c r="G114" s="9" t="s">
        <v>1119</v>
      </c>
      <c r="H114" s="9" t="s">
        <v>1120</v>
      </c>
      <c r="I114" s="9" t="s">
        <v>1121</v>
      </c>
      <c r="J114" s="9" t="s">
        <v>1122</v>
      </c>
      <c r="K114" s="9" t="s">
        <v>1123</v>
      </c>
      <c r="L114" s="9" t="s">
        <v>1124</v>
      </c>
      <c r="M114" s="9" t="s">
        <v>1124</v>
      </c>
      <c r="N114" s="8" t="s">
        <v>53</v>
      </c>
      <c r="O114" s="9" t="s">
        <v>76</v>
      </c>
      <c r="P114" s="9" t="s">
        <v>1125</v>
      </c>
      <c r="Q114" s="9" t="s">
        <v>78</v>
      </c>
      <c r="R114" s="9" t="s">
        <v>8</v>
      </c>
      <c r="S114" s="10" t="n">
        <v>46291</v>
      </c>
      <c r="T114" s="8" t="s">
        <v>68</v>
      </c>
      <c r="U114" s="10" t="n">
        <v>46291</v>
      </c>
      <c r="V114" s="9" t="s">
        <v>79</v>
      </c>
    </row>
    <row r="115" customFormat="false" ht="34.5" hidden="false" customHeight="true" outlineLevel="0" collapsed="false">
      <c r="A115" s="8" t="n">
        <v>114</v>
      </c>
      <c r="B115" s="8" t="s">
        <v>1126</v>
      </c>
      <c r="C115" s="8" t="s">
        <v>1127</v>
      </c>
      <c r="D115" s="9" t="s">
        <v>21</v>
      </c>
      <c r="E115" s="9" t="s">
        <v>1128</v>
      </c>
      <c r="F115" s="9" t="s">
        <v>1129</v>
      </c>
      <c r="G115" s="9" t="s">
        <v>1130</v>
      </c>
      <c r="H115" s="9" t="s">
        <v>1131</v>
      </c>
      <c r="I115" s="9"/>
      <c r="J115" s="9"/>
      <c r="K115" s="9"/>
      <c r="L115" s="9" t="s">
        <v>1132</v>
      </c>
      <c r="M115" s="9" t="s">
        <v>1132</v>
      </c>
      <c r="N115" s="8" t="s">
        <v>383</v>
      </c>
      <c r="O115" s="9" t="s">
        <v>1133</v>
      </c>
      <c r="P115" s="9" t="s">
        <v>1134</v>
      </c>
      <c r="Q115" s="9" t="s">
        <v>1135</v>
      </c>
      <c r="R115" s="9" t="s">
        <v>12</v>
      </c>
      <c r="S115" s="10" t="n">
        <v>46291</v>
      </c>
      <c r="T115" s="8" t="s">
        <v>224</v>
      </c>
      <c r="U115" s="10"/>
      <c r="V115" s="9" t="s">
        <v>518</v>
      </c>
    </row>
    <row r="116" customFormat="false" ht="34.5" hidden="false" customHeight="true" outlineLevel="0" collapsed="false">
      <c r="A116" s="8" t="n">
        <v>115</v>
      </c>
      <c r="B116" s="8" t="s">
        <v>1126</v>
      </c>
      <c r="C116" s="8" t="s">
        <v>1127</v>
      </c>
      <c r="D116" s="9" t="s">
        <v>22</v>
      </c>
      <c r="E116" s="9" t="s">
        <v>1136</v>
      </c>
      <c r="F116" s="9" t="s">
        <v>94</v>
      </c>
      <c r="G116" s="9" t="s">
        <v>1137</v>
      </c>
      <c r="H116" s="9" t="s">
        <v>72</v>
      </c>
      <c r="I116" s="9" t="s">
        <v>1138</v>
      </c>
      <c r="J116" s="9"/>
      <c r="K116" s="9" t="s">
        <v>1139</v>
      </c>
      <c r="L116" s="9" t="s">
        <v>1140</v>
      </c>
      <c r="M116" s="9" t="s">
        <v>1140</v>
      </c>
      <c r="N116" s="8" t="s">
        <v>88</v>
      </c>
      <c r="O116" s="9" t="s">
        <v>76</v>
      </c>
      <c r="P116" s="9" t="s">
        <v>99</v>
      </c>
      <c r="Q116" s="9" t="s">
        <v>78</v>
      </c>
      <c r="R116" s="9" t="s">
        <v>10</v>
      </c>
      <c r="S116" s="10" t="n">
        <v>46291</v>
      </c>
      <c r="T116" s="8" t="s">
        <v>68</v>
      </c>
      <c r="U116" s="10" t="n">
        <v>46291</v>
      </c>
      <c r="V116" s="9" t="s">
        <v>79</v>
      </c>
    </row>
    <row r="117" customFormat="false" ht="45.75" hidden="false" customHeight="true" outlineLevel="0" collapsed="false">
      <c r="A117" s="8" t="n">
        <v>116</v>
      </c>
      <c r="B117" s="8" t="s">
        <v>1141</v>
      </c>
      <c r="C117" s="8" t="s">
        <v>1142</v>
      </c>
      <c r="D117" s="9" t="s">
        <v>21</v>
      </c>
      <c r="E117" s="9" t="s">
        <v>1143</v>
      </c>
      <c r="F117" s="9" t="s">
        <v>1144</v>
      </c>
      <c r="G117" s="9" t="s">
        <v>1145</v>
      </c>
      <c r="H117" s="9" t="s">
        <v>1146</v>
      </c>
      <c r="I117" s="9" t="s">
        <v>1147</v>
      </c>
      <c r="J117" s="9"/>
      <c r="K117" s="9" t="s">
        <v>1148</v>
      </c>
      <c r="L117" s="9" t="s">
        <v>1149</v>
      </c>
      <c r="M117" s="9" t="s">
        <v>1149</v>
      </c>
      <c r="N117" s="8" t="s">
        <v>53</v>
      </c>
      <c r="O117" s="9" t="s">
        <v>1150</v>
      </c>
      <c r="P117" s="9" t="s">
        <v>1151</v>
      </c>
      <c r="Q117" s="9" t="s">
        <v>1152</v>
      </c>
      <c r="R117" s="9" t="s">
        <v>8</v>
      </c>
      <c r="S117" s="10" t="n">
        <v>46291</v>
      </c>
      <c r="T117" s="8" t="s">
        <v>57</v>
      </c>
      <c r="U117" s="10"/>
      <c r="V117" s="9" t="s">
        <v>58</v>
      </c>
    </row>
    <row r="118" customFormat="false" ht="34.5" hidden="false" customHeight="true" outlineLevel="0" collapsed="false">
      <c r="A118" s="8" t="n">
        <v>117</v>
      </c>
      <c r="B118" s="8" t="s">
        <v>1141</v>
      </c>
      <c r="C118" s="8" t="s">
        <v>1153</v>
      </c>
      <c r="D118" s="9" t="s">
        <v>21</v>
      </c>
      <c r="E118" s="9" t="s">
        <v>1154</v>
      </c>
      <c r="F118" s="9" t="s">
        <v>1155</v>
      </c>
      <c r="G118" s="9" t="s">
        <v>1156</v>
      </c>
      <c r="H118" s="9" t="s">
        <v>1157</v>
      </c>
      <c r="I118" s="9" t="s">
        <v>1158</v>
      </c>
      <c r="J118" s="9"/>
      <c r="K118" s="9"/>
      <c r="L118" s="9" t="s">
        <v>1159</v>
      </c>
      <c r="M118" s="9" t="s">
        <v>1159</v>
      </c>
      <c r="N118" s="8" t="s">
        <v>383</v>
      </c>
      <c r="O118" s="9" t="s">
        <v>1160</v>
      </c>
      <c r="P118" s="9" t="s">
        <v>1161</v>
      </c>
      <c r="Q118" s="9" t="s">
        <v>1162</v>
      </c>
      <c r="R118" s="9" t="s">
        <v>8</v>
      </c>
      <c r="S118" s="10" t="n">
        <v>46291</v>
      </c>
      <c r="T118" s="8" t="s">
        <v>68</v>
      </c>
      <c r="U118" s="10" t="n">
        <v>46291</v>
      </c>
      <c r="V118" s="9"/>
    </row>
    <row r="119" customFormat="false" ht="34.5" hidden="false" customHeight="true" outlineLevel="0" collapsed="false">
      <c r="A119" s="8" t="n">
        <v>118</v>
      </c>
      <c r="B119" s="8" t="s">
        <v>1141</v>
      </c>
      <c r="C119" s="8" t="s">
        <v>1163</v>
      </c>
      <c r="D119" s="9" t="s">
        <v>20</v>
      </c>
      <c r="E119" s="9" t="s">
        <v>1164</v>
      </c>
      <c r="F119" s="9" t="s">
        <v>1165</v>
      </c>
      <c r="G119" s="9" t="s">
        <v>1166</v>
      </c>
      <c r="H119" s="9" t="s">
        <v>1167</v>
      </c>
      <c r="I119" s="9" t="s">
        <v>1168</v>
      </c>
      <c r="J119" s="9"/>
      <c r="K119" s="9" t="s">
        <v>1169</v>
      </c>
      <c r="L119" s="9" t="s">
        <v>1170</v>
      </c>
      <c r="M119" s="9" t="s">
        <v>1170</v>
      </c>
      <c r="N119" s="8" t="s">
        <v>53</v>
      </c>
      <c r="O119" s="9" t="s">
        <v>1171</v>
      </c>
      <c r="P119" s="9" t="s">
        <v>1172</v>
      </c>
      <c r="Q119" s="9" t="s">
        <v>1173</v>
      </c>
      <c r="R119" s="9" t="s">
        <v>8</v>
      </c>
      <c r="S119" s="10" t="n">
        <v>46291</v>
      </c>
      <c r="T119" s="8" t="s">
        <v>68</v>
      </c>
      <c r="U119" s="10" t="n">
        <v>46291</v>
      </c>
      <c r="V119" s="9"/>
    </row>
    <row r="120" customFormat="false" ht="34.5" hidden="false" customHeight="true" outlineLevel="0" collapsed="false">
      <c r="A120" s="8" t="n">
        <v>119</v>
      </c>
      <c r="B120" s="8" t="s">
        <v>1141</v>
      </c>
      <c r="C120" s="8" t="s">
        <v>1153</v>
      </c>
      <c r="D120" s="9" t="s">
        <v>19</v>
      </c>
      <c r="E120" s="9" t="s">
        <v>1174</v>
      </c>
      <c r="F120" s="9" t="s">
        <v>1175</v>
      </c>
      <c r="G120" s="9" t="s">
        <v>1176</v>
      </c>
      <c r="H120" s="9" t="s">
        <v>380</v>
      </c>
      <c r="I120" s="9" t="s">
        <v>1177</v>
      </c>
      <c r="J120" s="9"/>
      <c r="K120" s="9" t="s">
        <v>1178</v>
      </c>
      <c r="L120" s="9" t="s">
        <v>1179</v>
      </c>
      <c r="M120" s="9" t="s">
        <v>1179</v>
      </c>
      <c r="N120" s="8" t="s">
        <v>53</v>
      </c>
      <c r="O120" s="9" t="s">
        <v>1180</v>
      </c>
      <c r="P120" s="9" t="s">
        <v>1181</v>
      </c>
      <c r="Q120" s="9" t="s">
        <v>1182</v>
      </c>
      <c r="R120" s="9" t="s">
        <v>8</v>
      </c>
      <c r="S120" s="10" t="n">
        <v>46291</v>
      </c>
      <c r="T120" s="8" t="s">
        <v>68</v>
      </c>
      <c r="U120" s="10" t="n">
        <v>46291</v>
      </c>
      <c r="V120" s="9"/>
    </row>
    <row r="121" customFormat="false" ht="34.5" hidden="false" customHeight="true" outlineLevel="0" collapsed="false">
      <c r="A121" s="8" t="n">
        <v>120</v>
      </c>
      <c r="B121" s="8" t="s">
        <v>1141</v>
      </c>
      <c r="C121" s="8" t="s">
        <v>1183</v>
      </c>
      <c r="D121" s="9" t="s">
        <v>19</v>
      </c>
      <c r="E121" s="9" t="s">
        <v>1184</v>
      </c>
      <c r="F121" s="9" t="s">
        <v>1185</v>
      </c>
      <c r="G121" s="9" t="s">
        <v>1186</v>
      </c>
      <c r="H121" s="9" t="s">
        <v>116</v>
      </c>
      <c r="I121" s="9" t="s">
        <v>1187</v>
      </c>
      <c r="J121" s="9"/>
      <c r="K121" s="9" t="s">
        <v>1188</v>
      </c>
      <c r="L121" s="9" t="s">
        <v>1189</v>
      </c>
      <c r="M121" s="9" t="s">
        <v>1189</v>
      </c>
      <c r="N121" s="8" t="s">
        <v>53</v>
      </c>
      <c r="O121" s="9" t="s">
        <v>1190</v>
      </c>
      <c r="P121" s="9" t="s">
        <v>1191</v>
      </c>
      <c r="Q121" s="9" t="s">
        <v>1192</v>
      </c>
      <c r="R121" s="9" t="s">
        <v>10</v>
      </c>
      <c r="S121" s="10" t="n">
        <v>46291</v>
      </c>
      <c r="T121" s="8" t="s">
        <v>68</v>
      </c>
      <c r="U121" s="10" t="n">
        <v>46291</v>
      </c>
      <c r="V121" s="9"/>
    </row>
    <row r="122" customFormat="false" ht="34.5" hidden="false" customHeight="true" outlineLevel="0" collapsed="false">
      <c r="A122" s="8" t="n">
        <v>121</v>
      </c>
      <c r="B122" s="8" t="s">
        <v>1141</v>
      </c>
      <c r="C122" s="8" t="s">
        <v>1193</v>
      </c>
      <c r="D122" s="9" t="s">
        <v>22</v>
      </c>
      <c r="E122" s="9" t="s">
        <v>1194</v>
      </c>
      <c r="F122" s="9" t="s">
        <v>94</v>
      </c>
      <c r="G122" s="9" t="s">
        <v>1195</v>
      </c>
      <c r="H122" s="9" t="s">
        <v>72</v>
      </c>
      <c r="I122" s="9" t="s">
        <v>1196</v>
      </c>
      <c r="J122" s="9"/>
      <c r="K122" s="9" t="s">
        <v>1197</v>
      </c>
      <c r="L122" s="9" t="s">
        <v>1198</v>
      </c>
      <c r="M122" s="9" t="s">
        <v>1198</v>
      </c>
      <c r="N122" s="8" t="s">
        <v>53</v>
      </c>
      <c r="O122" s="9" t="s">
        <v>76</v>
      </c>
      <c r="P122" s="9" t="s">
        <v>99</v>
      </c>
      <c r="Q122" s="9" t="s">
        <v>78</v>
      </c>
      <c r="R122" s="9" t="s">
        <v>10</v>
      </c>
      <c r="S122" s="10" t="n">
        <v>46291</v>
      </c>
      <c r="T122" s="8" t="s">
        <v>68</v>
      </c>
      <c r="U122" s="10" t="n">
        <v>46291</v>
      </c>
      <c r="V122" s="9" t="s">
        <v>79</v>
      </c>
    </row>
    <row r="123" customFormat="false" ht="45.75" hidden="false" customHeight="true" outlineLevel="0" collapsed="false">
      <c r="A123" s="8" t="n">
        <v>122</v>
      </c>
      <c r="B123" s="8" t="s">
        <v>1199</v>
      </c>
      <c r="C123" s="8" t="s">
        <v>1200</v>
      </c>
      <c r="D123" s="9" t="s">
        <v>20</v>
      </c>
      <c r="E123" s="9" t="s">
        <v>1201</v>
      </c>
      <c r="F123" s="9" t="s">
        <v>1202</v>
      </c>
      <c r="G123" s="9" t="s">
        <v>1203</v>
      </c>
      <c r="H123" s="9" t="s">
        <v>49</v>
      </c>
      <c r="I123" s="9" t="s">
        <v>1204</v>
      </c>
      <c r="J123" s="9" t="s">
        <v>1205</v>
      </c>
      <c r="K123" s="9" t="s">
        <v>1206</v>
      </c>
      <c r="L123" s="9" t="s">
        <v>1207</v>
      </c>
      <c r="M123" s="9" t="s">
        <v>1207</v>
      </c>
      <c r="N123" s="8" t="s">
        <v>53</v>
      </c>
      <c r="O123" s="9" t="s">
        <v>345</v>
      </c>
      <c r="P123" s="9" t="s">
        <v>1208</v>
      </c>
      <c r="Q123" s="9" t="s">
        <v>143</v>
      </c>
      <c r="R123" s="9" t="s">
        <v>10</v>
      </c>
      <c r="S123" s="10" t="n">
        <v>46291</v>
      </c>
      <c r="T123" s="8" t="s">
        <v>68</v>
      </c>
      <c r="U123" s="10" t="n">
        <v>46291</v>
      </c>
      <c r="V123" s="9" t="s">
        <v>144</v>
      </c>
    </row>
    <row r="124" customFormat="false" ht="34.5" hidden="false" customHeight="true" outlineLevel="0" collapsed="false">
      <c r="A124" s="8" t="n">
        <v>123</v>
      </c>
      <c r="B124" s="8" t="s">
        <v>1199</v>
      </c>
      <c r="C124" s="8" t="s">
        <v>1209</v>
      </c>
      <c r="D124" s="9" t="s">
        <v>19</v>
      </c>
      <c r="E124" s="9" t="s">
        <v>1210</v>
      </c>
      <c r="F124" s="9" t="s">
        <v>1211</v>
      </c>
      <c r="G124" s="9" t="s">
        <v>1212</v>
      </c>
      <c r="H124" s="9" t="s">
        <v>1213</v>
      </c>
      <c r="I124" s="9" t="s">
        <v>1214</v>
      </c>
      <c r="J124" s="9"/>
      <c r="K124" s="9" t="s">
        <v>1215</v>
      </c>
      <c r="L124" s="9" t="s">
        <v>1216</v>
      </c>
      <c r="M124" s="9" t="s">
        <v>1216</v>
      </c>
      <c r="N124" s="8" t="s">
        <v>53</v>
      </c>
      <c r="O124" s="9" t="s">
        <v>1217</v>
      </c>
      <c r="P124" s="9" t="s">
        <v>1218</v>
      </c>
      <c r="Q124" s="9" t="s">
        <v>1219</v>
      </c>
      <c r="R124" s="9" t="s">
        <v>10</v>
      </c>
      <c r="S124" s="10" t="n">
        <v>46291</v>
      </c>
      <c r="T124" s="8" t="s">
        <v>57</v>
      </c>
      <c r="U124" s="10"/>
      <c r="V124" s="9" t="s">
        <v>58</v>
      </c>
    </row>
    <row r="125" customFormat="false" ht="34.5" hidden="false" customHeight="true" outlineLevel="0" collapsed="false">
      <c r="A125" s="8" t="n">
        <v>124</v>
      </c>
      <c r="B125" s="8" t="s">
        <v>1199</v>
      </c>
      <c r="C125" s="8" t="s">
        <v>1220</v>
      </c>
      <c r="D125" s="9" t="s">
        <v>19</v>
      </c>
      <c r="E125" s="9" t="s">
        <v>1221</v>
      </c>
      <c r="F125" s="9" t="s">
        <v>1222</v>
      </c>
      <c r="G125" s="9" t="s">
        <v>1223</v>
      </c>
      <c r="H125" s="9" t="s">
        <v>1224</v>
      </c>
      <c r="I125" s="9" t="s">
        <v>1225</v>
      </c>
      <c r="J125" s="9" t="s">
        <v>1226</v>
      </c>
      <c r="K125" s="9" t="s">
        <v>1227</v>
      </c>
      <c r="L125" s="9" t="s">
        <v>1228</v>
      </c>
      <c r="M125" s="9" t="s">
        <v>1228</v>
      </c>
      <c r="N125" s="8" t="s">
        <v>53</v>
      </c>
      <c r="O125" s="9" t="s">
        <v>1229</v>
      </c>
      <c r="P125" s="9" t="s">
        <v>1230</v>
      </c>
      <c r="Q125" s="9" t="s">
        <v>1231</v>
      </c>
      <c r="R125" s="9" t="s">
        <v>8</v>
      </c>
      <c r="S125" s="10" t="n">
        <v>46291</v>
      </c>
      <c r="T125" s="8" t="s">
        <v>224</v>
      </c>
      <c r="U125" s="10"/>
      <c r="V125" s="9" t="s">
        <v>1232</v>
      </c>
    </row>
    <row r="126" customFormat="false" ht="34.5" hidden="false" customHeight="true" outlineLevel="0" collapsed="false">
      <c r="A126" s="8" t="n">
        <v>125</v>
      </c>
      <c r="B126" s="8" t="s">
        <v>1199</v>
      </c>
      <c r="C126" s="8" t="s">
        <v>1220</v>
      </c>
      <c r="D126" s="9" t="s">
        <v>22</v>
      </c>
      <c r="E126" s="9" t="s">
        <v>1233</v>
      </c>
      <c r="F126" s="9" t="s">
        <v>94</v>
      </c>
      <c r="G126" s="9" t="s">
        <v>1234</v>
      </c>
      <c r="H126" s="9" t="s">
        <v>72</v>
      </c>
      <c r="I126" s="9" t="s">
        <v>1235</v>
      </c>
      <c r="J126" s="9"/>
      <c r="K126" s="9" t="s">
        <v>1236</v>
      </c>
      <c r="L126" s="9" t="s">
        <v>1237</v>
      </c>
      <c r="M126" s="9" t="s">
        <v>1237</v>
      </c>
      <c r="N126" s="8" t="s">
        <v>88</v>
      </c>
      <c r="O126" s="9" t="s">
        <v>76</v>
      </c>
      <c r="P126" s="9" t="s">
        <v>99</v>
      </c>
      <c r="Q126" s="9" t="s">
        <v>78</v>
      </c>
      <c r="R126" s="9" t="s">
        <v>10</v>
      </c>
      <c r="S126" s="10" t="n">
        <v>46291</v>
      </c>
      <c r="T126" s="8" t="s">
        <v>68</v>
      </c>
      <c r="U126" s="10" t="n">
        <v>46291</v>
      </c>
      <c r="V126" s="9" t="s">
        <v>79</v>
      </c>
    </row>
    <row r="127" customFormat="false" ht="34.5" hidden="false" customHeight="true" outlineLevel="0" collapsed="false">
      <c r="A127" s="8" t="n">
        <v>126</v>
      </c>
      <c r="B127" s="8" t="s">
        <v>1238</v>
      </c>
      <c r="C127" s="8" t="s">
        <v>1239</v>
      </c>
      <c r="D127" s="9" t="s">
        <v>20</v>
      </c>
      <c r="E127" s="9" t="s">
        <v>1240</v>
      </c>
      <c r="F127" s="9" t="s">
        <v>1241</v>
      </c>
      <c r="G127" s="9" t="s">
        <v>1242</v>
      </c>
      <c r="H127" s="9" t="s">
        <v>1243</v>
      </c>
      <c r="I127" s="9" t="s">
        <v>1244</v>
      </c>
      <c r="J127" s="9"/>
      <c r="K127" s="9"/>
      <c r="L127" s="9" t="s">
        <v>1245</v>
      </c>
      <c r="M127" s="9" t="s">
        <v>1245</v>
      </c>
      <c r="N127" s="8" t="s">
        <v>53</v>
      </c>
      <c r="O127" s="9" t="s">
        <v>1246</v>
      </c>
      <c r="P127" s="9" t="s">
        <v>1247</v>
      </c>
      <c r="Q127" s="9" t="s">
        <v>1248</v>
      </c>
      <c r="R127" s="9" t="s">
        <v>10</v>
      </c>
      <c r="S127" s="10" t="n">
        <v>46291</v>
      </c>
      <c r="T127" s="8" t="s">
        <v>57</v>
      </c>
      <c r="U127" s="10"/>
      <c r="V127" s="9" t="s">
        <v>58</v>
      </c>
    </row>
    <row r="128" customFormat="false" ht="34.5" hidden="false" customHeight="true" outlineLevel="0" collapsed="false">
      <c r="A128" s="8" t="n">
        <v>127</v>
      </c>
      <c r="B128" s="8" t="s">
        <v>1238</v>
      </c>
      <c r="C128" s="8" t="s">
        <v>1249</v>
      </c>
      <c r="D128" s="9" t="s">
        <v>19</v>
      </c>
      <c r="E128" s="9" t="s">
        <v>1250</v>
      </c>
      <c r="F128" s="9" t="s">
        <v>1251</v>
      </c>
      <c r="G128" s="9" t="s">
        <v>1252</v>
      </c>
      <c r="H128" s="9" t="s">
        <v>1253</v>
      </c>
      <c r="I128" s="9" t="s">
        <v>1254</v>
      </c>
      <c r="J128" s="9"/>
      <c r="K128" s="9" t="s">
        <v>1255</v>
      </c>
      <c r="L128" s="9" t="s">
        <v>1256</v>
      </c>
      <c r="M128" s="9" t="s">
        <v>1256</v>
      </c>
      <c r="N128" s="8" t="s">
        <v>53</v>
      </c>
      <c r="O128" s="9" t="s">
        <v>234</v>
      </c>
      <c r="P128" s="9" t="s">
        <v>1257</v>
      </c>
      <c r="Q128" s="9" t="s">
        <v>143</v>
      </c>
      <c r="R128" s="9" t="s">
        <v>8</v>
      </c>
      <c r="S128" s="10" t="n">
        <v>46291</v>
      </c>
      <c r="T128" s="8" t="s">
        <v>68</v>
      </c>
      <c r="U128" s="10" t="n">
        <v>46291</v>
      </c>
      <c r="V128" s="9" t="s">
        <v>144</v>
      </c>
    </row>
    <row r="129" customFormat="false" ht="57" hidden="false" customHeight="true" outlineLevel="0" collapsed="false">
      <c r="A129" s="8" t="n">
        <v>128</v>
      </c>
      <c r="B129" s="8" t="s">
        <v>1238</v>
      </c>
      <c r="C129" s="8" t="s">
        <v>1258</v>
      </c>
      <c r="D129" s="9" t="s">
        <v>19</v>
      </c>
      <c r="E129" s="9" t="s">
        <v>1259</v>
      </c>
      <c r="F129" s="9" t="s">
        <v>541</v>
      </c>
      <c r="G129" s="9" t="s">
        <v>1260</v>
      </c>
      <c r="H129" s="9" t="s">
        <v>116</v>
      </c>
      <c r="I129" s="9" t="s">
        <v>1261</v>
      </c>
      <c r="J129" s="9" t="s">
        <v>1262</v>
      </c>
      <c r="K129" s="9"/>
      <c r="L129" s="9" t="s">
        <v>1263</v>
      </c>
      <c r="M129" s="9" t="s">
        <v>1263</v>
      </c>
      <c r="N129" s="8" t="s">
        <v>88</v>
      </c>
      <c r="O129" s="9" t="s">
        <v>1264</v>
      </c>
      <c r="P129" s="9" t="s">
        <v>548</v>
      </c>
      <c r="Q129" s="9" t="s">
        <v>1265</v>
      </c>
      <c r="R129" s="9" t="s">
        <v>8</v>
      </c>
      <c r="S129" s="10" t="n">
        <v>46291</v>
      </c>
      <c r="T129" s="8" t="s">
        <v>68</v>
      </c>
      <c r="U129" s="10" t="n">
        <v>46291</v>
      </c>
      <c r="V129" s="9"/>
    </row>
    <row r="130" customFormat="false" ht="34.5" hidden="false" customHeight="true" outlineLevel="0" collapsed="false">
      <c r="A130" s="8" t="n">
        <v>129</v>
      </c>
      <c r="B130" s="8" t="s">
        <v>1238</v>
      </c>
      <c r="C130" s="8" t="s">
        <v>1239</v>
      </c>
      <c r="D130" s="9" t="s">
        <v>19</v>
      </c>
      <c r="E130" s="9" t="s">
        <v>1266</v>
      </c>
      <c r="F130" s="9" t="s">
        <v>1267</v>
      </c>
      <c r="G130" s="9" t="s">
        <v>1268</v>
      </c>
      <c r="H130" s="9" t="s">
        <v>1269</v>
      </c>
      <c r="I130" s="9" t="s">
        <v>1270</v>
      </c>
      <c r="J130" s="9" t="s">
        <v>1271</v>
      </c>
      <c r="K130" s="9"/>
      <c r="L130" s="9" t="s">
        <v>1272</v>
      </c>
      <c r="M130" s="9" t="s">
        <v>1272</v>
      </c>
      <c r="N130" s="8" t="s">
        <v>53</v>
      </c>
      <c r="O130" s="9" t="s">
        <v>234</v>
      </c>
      <c r="P130" s="9" t="s">
        <v>1273</v>
      </c>
      <c r="Q130" s="9" t="s">
        <v>143</v>
      </c>
      <c r="R130" s="9" t="s">
        <v>10</v>
      </c>
      <c r="S130" s="10" t="n">
        <v>46291</v>
      </c>
      <c r="T130" s="8" t="s">
        <v>68</v>
      </c>
      <c r="U130" s="10" t="n">
        <v>46291</v>
      </c>
      <c r="V130" s="9" t="s">
        <v>144</v>
      </c>
    </row>
    <row r="131" customFormat="false" ht="34.5" hidden="false" customHeight="true" outlineLevel="0" collapsed="false">
      <c r="A131" s="8" t="n">
        <v>130</v>
      </c>
      <c r="B131" s="8" t="s">
        <v>1238</v>
      </c>
      <c r="C131" s="8" t="s">
        <v>1239</v>
      </c>
      <c r="D131" s="9" t="s">
        <v>22</v>
      </c>
      <c r="E131" s="9" t="s">
        <v>1274</v>
      </c>
      <c r="F131" s="9" t="s">
        <v>94</v>
      </c>
      <c r="G131" s="9" t="s">
        <v>1275</v>
      </c>
      <c r="H131" s="9" t="s">
        <v>72</v>
      </c>
      <c r="I131" s="9" t="s">
        <v>1276</v>
      </c>
      <c r="J131" s="9"/>
      <c r="K131" s="9" t="s">
        <v>1277</v>
      </c>
      <c r="L131" s="9" t="s">
        <v>1278</v>
      </c>
      <c r="M131" s="9" t="s">
        <v>1278</v>
      </c>
      <c r="N131" s="8" t="s">
        <v>88</v>
      </c>
      <c r="O131" s="9" t="s">
        <v>76</v>
      </c>
      <c r="P131" s="9" t="s">
        <v>99</v>
      </c>
      <c r="Q131" s="9" t="s">
        <v>78</v>
      </c>
      <c r="R131" s="9" t="s">
        <v>10</v>
      </c>
      <c r="S131" s="10" t="n">
        <v>46291</v>
      </c>
      <c r="T131" s="8" t="s">
        <v>68</v>
      </c>
      <c r="U131" s="10" t="n">
        <v>46291</v>
      </c>
      <c r="V131" s="9" t="s">
        <v>79</v>
      </c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customFormat="false" ht="1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customFormat="false" ht="1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customFormat="false" ht="1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customFormat="false" ht="1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customFormat="false" ht="1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customFormat="false" ht="1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customFormat="false" ht="1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customFormat="false" ht="1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customFormat="false" ht="1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customFormat="false" ht="1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customFormat="false" ht="1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customFormat="false" ht="1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customFormat="false" ht="1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customFormat="false" ht="1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customFormat="false" ht="1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customFormat="false" ht="1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customFormat="false" ht="1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customFormat="false" ht="1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customFormat="false" ht="1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customFormat="false" ht="1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customFormat="false" ht="1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customFormat="false" ht="1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customFormat="false" ht="1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customFormat="false" ht="1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customFormat="false" ht="1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customFormat="false" ht="1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customFormat="false" ht="1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customFormat="false" ht="1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customFormat="false" ht="1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customFormat="false" ht="1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customFormat="false" ht="1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customFormat="false" ht="1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customFormat="false" ht="1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customFormat="false" ht="1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customFormat="false" ht="1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customFormat="false" ht="1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customFormat="false" ht="1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customFormat="false" ht="1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customFormat="false" ht="1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customFormat="false" ht="1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customFormat="false" ht="1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customFormat="false" ht="1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customFormat="false" ht="1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customFormat="false" ht="1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customFormat="false" ht="1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customFormat="false" ht="1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customFormat="false" ht="1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customFormat="false" ht="1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customFormat="false" ht="1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customFormat="false" ht="1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customFormat="false" ht="1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customFormat="false" ht="1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customFormat="false" ht="1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customFormat="false" ht="1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customFormat="false" ht="1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customFormat="false" ht="1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customFormat="false" ht="1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customFormat="false" ht="1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customFormat="false" ht="1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customFormat="false" ht="1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customFormat="false" ht="1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customFormat="false" ht="1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customFormat="false" ht="1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customFormat="false" ht="1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customFormat="false" ht="1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customFormat="false" ht="1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customFormat="false" ht="1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customFormat="false" ht="1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</sheetData>
  <conditionalFormatting sqref="N2:N131">
    <cfRule type="expression" priority="2" aboveAverage="0" equalAverage="0" bottom="0" percent="0" rank="0" text="" dxfId="8">
      <formula>N2="A"</formula>
    </cfRule>
    <cfRule type="expression" priority="3" aboveAverage="0" equalAverage="0" bottom="0" percent="0" rank="0" text="" dxfId="9">
      <formula>N2="B"</formula>
    </cfRule>
    <cfRule type="expression" priority="4" aboveAverage="0" equalAverage="0" bottom="0" percent="0" rank="0" text="" dxfId="10">
      <formula>N2="C"</formula>
    </cfRule>
  </conditionalFormatting>
  <conditionalFormatting sqref="T2:T131">
    <cfRule type="expression" priority="5" aboveAverage="0" equalAverage="0" bottom="0" percent="0" rank="0" text="" dxfId="8">
      <formula>OR(T2="Replied",T2="Meeting Booked")</formula>
    </cfRule>
    <cfRule type="expression" priority="6" aboveAverage="0" equalAverage="0" bottom="0" percent="0" rank="0" text="" dxfId="11">
      <formula>T2="Sent"</formula>
    </cfRule>
    <cfRule type="expression" priority="7" aboveAverage="0" equalAverage="0" bottom="0" percent="0" rank="0" text="" dxfId="9">
      <formula>T2="Follow-up"</formula>
    </cfRule>
  </conditionalFormatting>
  <dataValidations count="2">
    <dataValidation allowBlank="false" errorStyle="stop" operator="between" showDropDown="false" showErrorMessage="false" showInputMessage="false" sqref="N2:N180" type="list">
      <formula1>"A,B,C"</formula1>
      <formula2>0</formula2>
    </dataValidation>
    <dataValidation allowBlank="false" errorStyle="stop" operator="between" showDropDown="false" showErrorMessage="false" showInputMessage="false" sqref="T2:T180" type="list">
      <formula1>"Not Contacted,Drafted,Sent,Replied,Meeting Booked,Follow-up,Closed,Not Pursuing"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6"/>
    <col collapsed="false" customWidth="true" hidden="false" outlineLevel="0" max="3" min="3" style="1" width="31"/>
    <col collapsed="false" customWidth="true" hidden="false" outlineLevel="0" max="4" min="4" style="1" width="34"/>
    <col collapsed="false" customWidth="true" hidden="false" outlineLevel="0" max="5" min="5" style="1" width="24"/>
    <col collapsed="false" customWidth="true" hidden="false" outlineLevel="0" max="6" min="6" style="1" width="27"/>
    <col collapsed="false" customWidth="true" hidden="false" outlineLevel="0" max="8" min="7" style="1" width="31"/>
    <col collapsed="false" customWidth="true" hidden="false" outlineLevel="0" max="9" min="9" style="1" width="19"/>
    <col collapsed="false" customWidth="true" hidden="false" outlineLevel="0" max="11" min="10" style="1" width="42"/>
    <col collapsed="false" customWidth="true" hidden="false" outlineLevel="0" max="12" min="12" style="1" width="8"/>
    <col collapsed="false" customWidth="true" hidden="false" outlineLevel="0" max="13" min="13" style="1" width="46"/>
    <col collapsed="false" customWidth="true" hidden="false" outlineLevel="0" max="14" min="14" style="1" width="48"/>
    <col collapsed="false" customWidth="true" hidden="false" outlineLevel="0" max="15" min="15" style="1" width="27"/>
    <col collapsed="false" customWidth="true" hidden="false" outlineLevel="0" max="16" min="16" style="1" width="17"/>
    <col collapsed="false" customWidth="true" hidden="false" outlineLevel="0" max="17" min="17" style="1" width="36"/>
  </cols>
  <sheetData>
    <row r="1" customFormat="false" ht="33.75" hidden="false" customHeight="true" outlineLevel="0" collapsed="false">
      <c r="A1" s="7" t="s">
        <v>24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  <c r="H1" s="7" t="s">
        <v>31</v>
      </c>
      <c r="I1" s="7" t="s">
        <v>32</v>
      </c>
      <c r="J1" s="7" t="s">
        <v>33</v>
      </c>
      <c r="K1" s="7" t="s">
        <v>34</v>
      </c>
      <c r="L1" s="7" t="s">
        <v>35</v>
      </c>
      <c r="M1" s="7" t="s">
        <v>37</v>
      </c>
      <c r="N1" s="7" t="s">
        <v>38</v>
      </c>
      <c r="O1" s="7" t="s">
        <v>39</v>
      </c>
      <c r="P1" s="7" t="s">
        <v>41</v>
      </c>
      <c r="Q1" s="7" t="s">
        <v>43</v>
      </c>
      <c r="R1" s="3"/>
      <c r="S1" s="3"/>
      <c r="T1" s="3"/>
      <c r="U1" s="3"/>
      <c r="V1" s="3"/>
    </row>
    <row r="2" customFormat="false" ht="23.25" hidden="false" customHeight="true" outlineLevel="0" collapsed="false">
      <c r="A2" s="8" t="s">
        <v>44</v>
      </c>
      <c r="B2" s="8" t="s">
        <v>59</v>
      </c>
      <c r="C2" s="9" t="s">
        <v>60</v>
      </c>
      <c r="D2" s="9" t="s">
        <v>61</v>
      </c>
      <c r="E2" s="9" t="s">
        <v>62</v>
      </c>
      <c r="F2" s="9" t="s">
        <v>49</v>
      </c>
      <c r="G2" s="9" t="s">
        <v>63</v>
      </c>
      <c r="H2" s="9"/>
      <c r="I2" s="9"/>
      <c r="J2" s="9" t="s">
        <v>64</v>
      </c>
      <c r="K2" s="9" t="s">
        <v>64</v>
      </c>
      <c r="L2" s="8" t="s">
        <v>53</v>
      </c>
      <c r="M2" s="9" t="s">
        <v>66</v>
      </c>
      <c r="N2" s="9" t="s">
        <v>67</v>
      </c>
      <c r="O2" s="9" t="s">
        <v>10</v>
      </c>
      <c r="P2" s="8" t="s">
        <v>1279</v>
      </c>
      <c r="Q2" s="9"/>
      <c r="R2" s="3"/>
      <c r="S2" s="3"/>
      <c r="T2" s="3"/>
      <c r="U2" s="3"/>
      <c r="V2" s="3"/>
    </row>
    <row r="3" customFormat="false" ht="34.5" hidden="false" customHeight="true" outlineLevel="0" collapsed="false">
      <c r="A3" s="8" t="s">
        <v>80</v>
      </c>
      <c r="B3" s="8" t="s">
        <v>81</v>
      </c>
      <c r="C3" s="9" t="s">
        <v>82</v>
      </c>
      <c r="D3" s="9" t="s">
        <v>83</v>
      </c>
      <c r="E3" s="9" t="s">
        <v>84</v>
      </c>
      <c r="F3" s="9" t="s">
        <v>85</v>
      </c>
      <c r="G3" s="9" t="s">
        <v>86</v>
      </c>
      <c r="H3" s="9"/>
      <c r="I3" s="9"/>
      <c r="J3" s="9" t="s">
        <v>87</v>
      </c>
      <c r="K3" s="9" t="s">
        <v>87</v>
      </c>
      <c r="L3" s="8" t="s">
        <v>88</v>
      </c>
      <c r="M3" s="9" t="s">
        <v>90</v>
      </c>
      <c r="N3" s="9" t="s">
        <v>91</v>
      </c>
      <c r="O3" s="9" t="s">
        <v>8</v>
      </c>
      <c r="P3" s="8" t="s">
        <v>1279</v>
      </c>
      <c r="Q3" s="9"/>
      <c r="R3" s="3"/>
      <c r="S3" s="3"/>
      <c r="T3" s="3"/>
      <c r="U3" s="3"/>
      <c r="V3" s="3"/>
    </row>
    <row r="4" customFormat="false" ht="34.5" hidden="false" customHeight="true" outlineLevel="0" collapsed="false">
      <c r="A4" s="8" t="s">
        <v>100</v>
      </c>
      <c r="B4" s="8" t="s">
        <v>112</v>
      </c>
      <c r="C4" s="9" t="s">
        <v>113</v>
      </c>
      <c r="D4" s="9" t="s">
        <v>114</v>
      </c>
      <c r="E4" s="9" t="s">
        <v>115</v>
      </c>
      <c r="F4" s="9" t="s">
        <v>116</v>
      </c>
      <c r="G4" s="9" t="s">
        <v>117</v>
      </c>
      <c r="H4" s="9"/>
      <c r="I4" s="9" t="s">
        <v>118</v>
      </c>
      <c r="J4" s="9" t="s">
        <v>119</v>
      </c>
      <c r="K4" s="9" t="s">
        <v>119</v>
      </c>
      <c r="L4" s="8" t="s">
        <v>53</v>
      </c>
      <c r="M4" s="9" t="s">
        <v>121</v>
      </c>
      <c r="N4" s="9" t="s">
        <v>122</v>
      </c>
      <c r="O4" s="9" t="s">
        <v>10</v>
      </c>
      <c r="P4" s="8" t="s">
        <v>1279</v>
      </c>
      <c r="Q4" s="9"/>
      <c r="R4" s="3"/>
      <c r="S4" s="3"/>
      <c r="T4" s="3"/>
      <c r="U4" s="3"/>
      <c r="V4" s="3"/>
    </row>
    <row r="5" customFormat="false" ht="34.5" hidden="false" customHeight="true" outlineLevel="0" collapsed="false">
      <c r="A5" s="8" t="s">
        <v>132</v>
      </c>
      <c r="B5" s="8" t="s">
        <v>133</v>
      </c>
      <c r="C5" s="9" t="s">
        <v>145</v>
      </c>
      <c r="D5" s="9" t="s">
        <v>146</v>
      </c>
      <c r="E5" s="9" t="s">
        <v>147</v>
      </c>
      <c r="F5" s="9" t="s">
        <v>148</v>
      </c>
      <c r="G5" s="9" t="s">
        <v>149</v>
      </c>
      <c r="H5" s="9"/>
      <c r="I5" s="9" t="s">
        <v>150</v>
      </c>
      <c r="J5" s="9" t="s">
        <v>151</v>
      </c>
      <c r="K5" s="9" t="s">
        <v>151</v>
      </c>
      <c r="L5" s="8" t="s">
        <v>53</v>
      </c>
      <c r="M5" s="9" t="s">
        <v>153</v>
      </c>
      <c r="N5" s="9" t="s">
        <v>154</v>
      </c>
      <c r="O5" s="9" t="s">
        <v>8</v>
      </c>
      <c r="P5" s="8" t="s">
        <v>1279</v>
      </c>
      <c r="Q5" s="9"/>
      <c r="R5" s="3"/>
      <c r="S5" s="3"/>
      <c r="T5" s="3"/>
      <c r="U5" s="3"/>
      <c r="V5" s="3"/>
    </row>
    <row r="6" customFormat="false" ht="34.5" hidden="false" customHeight="true" outlineLevel="0" collapsed="false">
      <c r="A6" s="8" t="s">
        <v>132</v>
      </c>
      <c r="B6" s="8" t="s">
        <v>133</v>
      </c>
      <c r="C6" s="9" t="s">
        <v>155</v>
      </c>
      <c r="D6" s="9" t="s">
        <v>156</v>
      </c>
      <c r="E6" s="9" t="s">
        <v>157</v>
      </c>
      <c r="F6" s="9" t="s">
        <v>116</v>
      </c>
      <c r="G6" s="9" t="s">
        <v>158</v>
      </c>
      <c r="H6" s="9"/>
      <c r="I6" s="9"/>
      <c r="J6" s="9" t="s">
        <v>159</v>
      </c>
      <c r="K6" s="9" t="s">
        <v>159</v>
      </c>
      <c r="L6" s="8" t="s">
        <v>88</v>
      </c>
      <c r="M6" s="9" t="s">
        <v>161</v>
      </c>
      <c r="N6" s="9" t="s">
        <v>162</v>
      </c>
      <c r="O6" s="9" t="s">
        <v>10</v>
      </c>
      <c r="P6" s="8" t="s">
        <v>1279</v>
      </c>
      <c r="Q6" s="9"/>
      <c r="R6" s="3"/>
      <c r="S6" s="3"/>
      <c r="T6" s="3"/>
      <c r="U6" s="3"/>
      <c r="V6" s="3"/>
    </row>
    <row r="7" customFormat="false" ht="45.75" hidden="false" customHeight="true" outlineLevel="0" collapsed="false">
      <c r="A7" s="8" t="s">
        <v>170</v>
      </c>
      <c r="B7" s="8" t="s">
        <v>171</v>
      </c>
      <c r="C7" s="9" t="s">
        <v>172</v>
      </c>
      <c r="D7" s="9" t="s">
        <v>173</v>
      </c>
      <c r="E7" s="9" t="s">
        <v>174</v>
      </c>
      <c r="F7" s="9" t="s">
        <v>148</v>
      </c>
      <c r="G7" s="9" t="s">
        <v>175</v>
      </c>
      <c r="H7" s="9"/>
      <c r="I7" s="9" t="s">
        <v>176</v>
      </c>
      <c r="J7" s="9" t="s">
        <v>177</v>
      </c>
      <c r="K7" s="9" t="s">
        <v>177</v>
      </c>
      <c r="L7" s="8" t="s">
        <v>88</v>
      </c>
      <c r="M7" s="9" t="s">
        <v>179</v>
      </c>
      <c r="N7" s="9" t="s">
        <v>180</v>
      </c>
      <c r="O7" s="9" t="s">
        <v>8</v>
      </c>
      <c r="P7" s="8" t="s">
        <v>1279</v>
      </c>
      <c r="Q7" s="9"/>
      <c r="R7" s="3"/>
      <c r="S7" s="3"/>
      <c r="T7" s="3"/>
      <c r="U7" s="3"/>
      <c r="V7" s="3"/>
    </row>
    <row r="8" customFormat="false" ht="34.5" hidden="false" customHeight="true" outlineLevel="0" collapsed="false">
      <c r="A8" s="8" t="s">
        <v>170</v>
      </c>
      <c r="B8" s="8" t="s">
        <v>181</v>
      </c>
      <c r="C8" s="9" t="s">
        <v>182</v>
      </c>
      <c r="D8" s="9" t="s">
        <v>183</v>
      </c>
      <c r="E8" s="9" t="s">
        <v>184</v>
      </c>
      <c r="F8" s="9" t="s">
        <v>185</v>
      </c>
      <c r="G8" s="9" t="s">
        <v>186</v>
      </c>
      <c r="H8" s="9"/>
      <c r="I8" s="9" t="s">
        <v>187</v>
      </c>
      <c r="J8" s="9" t="s">
        <v>177</v>
      </c>
      <c r="K8" s="9" t="s">
        <v>177</v>
      </c>
      <c r="L8" s="8" t="s">
        <v>53</v>
      </c>
      <c r="M8" s="9" t="s">
        <v>189</v>
      </c>
      <c r="N8" s="9" t="s">
        <v>190</v>
      </c>
      <c r="O8" s="9" t="s">
        <v>8</v>
      </c>
      <c r="P8" s="8" t="s">
        <v>1279</v>
      </c>
      <c r="Q8" s="9"/>
      <c r="R8" s="3"/>
      <c r="S8" s="3"/>
      <c r="T8" s="3"/>
      <c r="U8" s="3"/>
      <c r="V8" s="3"/>
    </row>
    <row r="9" customFormat="false" ht="34.5" hidden="false" customHeight="true" outlineLevel="0" collapsed="false">
      <c r="A9" s="8" t="s">
        <v>170</v>
      </c>
      <c r="B9" s="8" t="s">
        <v>191</v>
      </c>
      <c r="C9" s="9" t="s">
        <v>192</v>
      </c>
      <c r="D9" s="9" t="s">
        <v>193</v>
      </c>
      <c r="E9" s="9" t="s">
        <v>194</v>
      </c>
      <c r="F9" s="9" t="s">
        <v>148</v>
      </c>
      <c r="G9" s="9" t="s">
        <v>195</v>
      </c>
      <c r="H9" s="9"/>
      <c r="I9" s="9" t="s">
        <v>196</v>
      </c>
      <c r="J9" s="9" t="s">
        <v>177</v>
      </c>
      <c r="K9" s="9" t="s">
        <v>177</v>
      </c>
      <c r="L9" s="8" t="s">
        <v>88</v>
      </c>
      <c r="M9" s="9" t="s">
        <v>198</v>
      </c>
      <c r="N9" s="9" t="s">
        <v>199</v>
      </c>
      <c r="O9" s="9" t="s">
        <v>8</v>
      </c>
      <c r="P9" s="8" t="s">
        <v>1279</v>
      </c>
      <c r="Q9" s="9"/>
      <c r="R9" s="3"/>
      <c r="S9" s="3"/>
      <c r="T9" s="3"/>
      <c r="U9" s="3"/>
      <c r="V9" s="3"/>
    </row>
    <row r="10" customFormat="false" ht="34.5" hidden="false" customHeight="true" outlineLevel="0" collapsed="false">
      <c r="A10" s="8" t="s">
        <v>206</v>
      </c>
      <c r="B10" s="8" t="s">
        <v>207</v>
      </c>
      <c r="C10" s="9" t="s">
        <v>208</v>
      </c>
      <c r="D10" s="9" t="s">
        <v>209</v>
      </c>
      <c r="E10" s="9" t="s">
        <v>210</v>
      </c>
      <c r="F10" s="9" t="s">
        <v>116</v>
      </c>
      <c r="G10" s="9" t="s">
        <v>211</v>
      </c>
      <c r="H10" s="9"/>
      <c r="I10" s="9"/>
      <c r="J10" s="9" t="s">
        <v>64</v>
      </c>
      <c r="K10" s="9" t="s">
        <v>64</v>
      </c>
      <c r="L10" s="8" t="s">
        <v>53</v>
      </c>
      <c r="M10" s="9" t="s">
        <v>213</v>
      </c>
      <c r="N10" s="9" t="s">
        <v>214</v>
      </c>
      <c r="O10" s="9" t="s">
        <v>10</v>
      </c>
      <c r="P10" s="8" t="s">
        <v>1279</v>
      </c>
      <c r="Q10" s="9"/>
      <c r="R10" s="3"/>
      <c r="S10" s="3"/>
      <c r="T10" s="3"/>
      <c r="U10" s="3"/>
      <c r="V10" s="3"/>
    </row>
    <row r="11" customFormat="false" ht="34.5" hidden="false" customHeight="true" outlineLevel="0" collapsed="false">
      <c r="A11" s="8" t="s">
        <v>206</v>
      </c>
      <c r="B11" s="8" t="s">
        <v>207</v>
      </c>
      <c r="C11" s="9" t="s">
        <v>215</v>
      </c>
      <c r="D11" s="9" t="s">
        <v>216</v>
      </c>
      <c r="E11" s="9" t="s">
        <v>217</v>
      </c>
      <c r="F11" s="9" t="s">
        <v>218</v>
      </c>
      <c r="G11" s="9" t="s">
        <v>219</v>
      </c>
      <c r="H11" s="9"/>
      <c r="I11" s="9"/>
      <c r="J11" s="9" t="s">
        <v>220</v>
      </c>
      <c r="K11" s="9" t="s">
        <v>220</v>
      </c>
      <c r="L11" s="8" t="s">
        <v>53</v>
      </c>
      <c r="M11" s="9" t="s">
        <v>222</v>
      </c>
      <c r="N11" s="9" t="s">
        <v>223</v>
      </c>
      <c r="O11" s="9" t="s">
        <v>8</v>
      </c>
      <c r="P11" s="8" t="s">
        <v>1279</v>
      </c>
      <c r="Q11" s="9"/>
      <c r="R11" s="3"/>
      <c r="S11" s="3"/>
      <c r="T11" s="3"/>
      <c r="U11" s="3"/>
      <c r="V11" s="3"/>
    </row>
    <row r="12" customFormat="false" ht="34.5" hidden="false" customHeight="true" outlineLevel="0" collapsed="false">
      <c r="A12" s="8" t="s">
        <v>206</v>
      </c>
      <c r="B12" s="8" t="s">
        <v>207</v>
      </c>
      <c r="C12" s="9" t="s">
        <v>226</v>
      </c>
      <c r="D12" s="9" t="s">
        <v>227</v>
      </c>
      <c r="E12" s="9" t="s">
        <v>228</v>
      </c>
      <c r="F12" s="9" t="s">
        <v>229</v>
      </c>
      <c r="G12" s="9" t="s">
        <v>230</v>
      </c>
      <c r="H12" s="9" t="s">
        <v>231</v>
      </c>
      <c r="I12" s="9" t="s">
        <v>232</v>
      </c>
      <c r="J12" s="9" t="s">
        <v>233</v>
      </c>
      <c r="K12" s="9" t="s">
        <v>233</v>
      </c>
      <c r="L12" s="8" t="s">
        <v>53</v>
      </c>
      <c r="M12" s="9" t="s">
        <v>235</v>
      </c>
      <c r="N12" s="9" t="s">
        <v>143</v>
      </c>
      <c r="O12" s="9" t="s">
        <v>10</v>
      </c>
      <c r="P12" s="8" t="s">
        <v>1279</v>
      </c>
      <c r="Q12" s="9" t="s">
        <v>144</v>
      </c>
      <c r="R12" s="3"/>
      <c r="S12" s="3"/>
      <c r="T12" s="3"/>
      <c r="U12" s="3"/>
      <c r="V12" s="3"/>
    </row>
    <row r="13" customFormat="false" ht="34.5" hidden="false" customHeight="true" outlineLevel="0" collapsed="false">
      <c r="A13" s="8" t="s">
        <v>236</v>
      </c>
      <c r="B13" s="8" t="s">
        <v>248</v>
      </c>
      <c r="C13" s="9" t="s">
        <v>249</v>
      </c>
      <c r="D13" s="9" t="s">
        <v>250</v>
      </c>
      <c r="E13" s="9" t="s">
        <v>251</v>
      </c>
      <c r="F13" s="9" t="s">
        <v>252</v>
      </c>
      <c r="G13" s="9" t="s">
        <v>253</v>
      </c>
      <c r="H13" s="9"/>
      <c r="I13" s="9" t="s">
        <v>254</v>
      </c>
      <c r="J13" s="9" t="s">
        <v>255</v>
      </c>
      <c r="K13" s="9" t="s">
        <v>255</v>
      </c>
      <c r="L13" s="8" t="s">
        <v>53</v>
      </c>
      <c r="M13" s="9" t="s">
        <v>257</v>
      </c>
      <c r="N13" s="9" t="s">
        <v>258</v>
      </c>
      <c r="O13" s="9" t="s">
        <v>8</v>
      </c>
      <c r="P13" s="8" t="s">
        <v>1279</v>
      </c>
      <c r="Q13" s="9"/>
      <c r="R13" s="3"/>
      <c r="S13" s="3"/>
      <c r="T13" s="3"/>
      <c r="U13" s="3"/>
      <c r="V13" s="3"/>
    </row>
    <row r="14" customFormat="false" ht="34.5" hidden="false" customHeight="true" outlineLevel="0" collapsed="false">
      <c r="A14" s="8" t="s">
        <v>267</v>
      </c>
      <c r="B14" s="8" t="s">
        <v>299</v>
      </c>
      <c r="C14" s="9" t="s">
        <v>300</v>
      </c>
      <c r="D14" s="9" t="s">
        <v>301</v>
      </c>
      <c r="E14" s="9" t="s">
        <v>302</v>
      </c>
      <c r="F14" s="9" t="s">
        <v>303</v>
      </c>
      <c r="G14" s="9" t="s">
        <v>304</v>
      </c>
      <c r="H14" s="9"/>
      <c r="I14" s="9" t="s">
        <v>305</v>
      </c>
      <c r="J14" s="9" t="s">
        <v>306</v>
      </c>
      <c r="K14" s="9" t="s">
        <v>306</v>
      </c>
      <c r="L14" s="8" t="s">
        <v>53</v>
      </c>
      <c r="M14" s="9" t="s">
        <v>308</v>
      </c>
      <c r="N14" s="9" t="s">
        <v>309</v>
      </c>
      <c r="O14" s="9" t="s">
        <v>8</v>
      </c>
      <c r="P14" s="8" t="s">
        <v>1279</v>
      </c>
      <c r="Q14" s="9"/>
      <c r="R14" s="3"/>
      <c r="S14" s="3"/>
      <c r="T14" s="3"/>
      <c r="U14" s="3"/>
      <c r="V14" s="3"/>
    </row>
    <row r="15" customFormat="false" ht="23.25" hidden="false" customHeight="true" outlineLevel="0" collapsed="false">
      <c r="A15" s="8" t="s">
        <v>356</v>
      </c>
      <c r="B15" s="8" t="s">
        <v>357</v>
      </c>
      <c r="C15" s="9" t="s">
        <v>358</v>
      </c>
      <c r="D15" s="9" t="s">
        <v>359</v>
      </c>
      <c r="E15" s="9" t="s">
        <v>360</v>
      </c>
      <c r="F15" s="9" t="s">
        <v>361</v>
      </c>
      <c r="G15" s="9" t="s">
        <v>362</v>
      </c>
      <c r="H15" s="9"/>
      <c r="I15" s="9"/>
      <c r="J15" s="9" t="s">
        <v>363</v>
      </c>
      <c r="K15" s="9" t="s">
        <v>363</v>
      </c>
      <c r="L15" s="8" t="s">
        <v>53</v>
      </c>
      <c r="M15" s="9" t="s">
        <v>365</v>
      </c>
      <c r="N15" s="9" t="s">
        <v>366</v>
      </c>
      <c r="O15" s="9" t="s">
        <v>8</v>
      </c>
      <c r="P15" s="8" t="s">
        <v>1279</v>
      </c>
      <c r="Q15" s="9"/>
      <c r="R15" s="3"/>
      <c r="S15" s="3"/>
      <c r="T15" s="3"/>
      <c r="U15" s="3"/>
      <c r="V15" s="3"/>
    </row>
    <row r="16" customFormat="false" ht="34.5" hidden="false" customHeight="true" outlineLevel="0" collapsed="false">
      <c r="A16" s="8" t="s">
        <v>375</v>
      </c>
      <c r="B16" s="8" t="s">
        <v>408</v>
      </c>
      <c r="C16" s="9" t="s">
        <v>409</v>
      </c>
      <c r="D16" s="9" t="s">
        <v>410</v>
      </c>
      <c r="E16" s="9" t="s">
        <v>411</v>
      </c>
      <c r="F16" s="9" t="s">
        <v>116</v>
      </c>
      <c r="G16" s="9" t="s">
        <v>412</v>
      </c>
      <c r="H16" s="9"/>
      <c r="I16" s="9" t="s">
        <v>413</v>
      </c>
      <c r="J16" s="9" t="s">
        <v>414</v>
      </c>
      <c r="K16" s="9" t="s">
        <v>414</v>
      </c>
      <c r="L16" s="8" t="s">
        <v>88</v>
      </c>
      <c r="M16" s="9" t="s">
        <v>416</v>
      </c>
      <c r="N16" s="9" t="s">
        <v>417</v>
      </c>
      <c r="O16" s="9" t="s">
        <v>10</v>
      </c>
      <c r="P16" s="8" t="s">
        <v>1279</v>
      </c>
      <c r="Q16" s="9"/>
      <c r="R16" s="3"/>
      <c r="S16" s="3"/>
      <c r="T16" s="3"/>
      <c r="U16" s="3"/>
      <c r="V16" s="3"/>
    </row>
    <row r="17" customFormat="false" ht="34.5" hidden="false" customHeight="true" outlineLevel="0" collapsed="false">
      <c r="A17" s="8" t="s">
        <v>375</v>
      </c>
      <c r="B17" s="8" t="s">
        <v>388</v>
      </c>
      <c r="C17" s="9" t="s">
        <v>418</v>
      </c>
      <c r="D17" s="9" t="s">
        <v>419</v>
      </c>
      <c r="E17" s="9" t="s">
        <v>420</v>
      </c>
      <c r="F17" s="9" t="s">
        <v>421</v>
      </c>
      <c r="G17" s="9" t="s">
        <v>422</v>
      </c>
      <c r="H17" s="9" t="s">
        <v>423</v>
      </c>
      <c r="I17" s="9" t="s">
        <v>424</v>
      </c>
      <c r="J17" s="9" t="s">
        <v>425</v>
      </c>
      <c r="K17" s="9" t="s">
        <v>425</v>
      </c>
      <c r="L17" s="8" t="s">
        <v>53</v>
      </c>
      <c r="M17" s="9" t="s">
        <v>427</v>
      </c>
      <c r="N17" s="9" t="s">
        <v>428</v>
      </c>
      <c r="O17" s="9" t="s">
        <v>8</v>
      </c>
      <c r="P17" s="8" t="s">
        <v>1279</v>
      </c>
      <c r="Q17" s="9"/>
      <c r="R17" s="3"/>
      <c r="S17" s="3"/>
      <c r="T17" s="3"/>
      <c r="U17" s="3"/>
      <c r="V17" s="3"/>
    </row>
    <row r="18" customFormat="false" ht="34.5" hidden="false" customHeight="true" outlineLevel="0" collapsed="false">
      <c r="A18" s="8" t="s">
        <v>438</v>
      </c>
      <c r="B18" s="8" t="s">
        <v>449</v>
      </c>
      <c r="C18" s="9" t="s">
        <v>450</v>
      </c>
      <c r="D18" s="9" t="s">
        <v>390</v>
      </c>
      <c r="E18" s="9" t="s">
        <v>451</v>
      </c>
      <c r="F18" s="9" t="s">
        <v>116</v>
      </c>
      <c r="G18" s="9" t="s">
        <v>452</v>
      </c>
      <c r="H18" s="9"/>
      <c r="I18" s="9" t="s">
        <v>453</v>
      </c>
      <c r="J18" s="9" t="s">
        <v>454</v>
      </c>
      <c r="K18" s="9" t="s">
        <v>454</v>
      </c>
      <c r="L18" s="8" t="s">
        <v>53</v>
      </c>
      <c r="M18" s="9" t="s">
        <v>397</v>
      </c>
      <c r="N18" s="9" t="s">
        <v>456</v>
      </c>
      <c r="O18" s="9" t="s">
        <v>10</v>
      </c>
      <c r="P18" s="8" t="s">
        <v>1279</v>
      </c>
      <c r="Q18" s="9"/>
      <c r="R18" s="3"/>
      <c r="S18" s="3"/>
      <c r="T18" s="3"/>
      <c r="U18" s="3"/>
      <c r="V18" s="3"/>
    </row>
    <row r="19" customFormat="false" ht="23.25" hidden="false" customHeight="true" outlineLevel="0" collapsed="false">
      <c r="A19" s="8" t="s">
        <v>463</v>
      </c>
      <c r="B19" s="8" t="s">
        <v>464</v>
      </c>
      <c r="C19" s="9" t="s">
        <v>519</v>
      </c>
      <c r="D19" s="9" t="s">
        <v>520</v>
      </c>
      <c r="E19" s="9" t="s">
        <v>521</v>
      </c>
      <c r="F19" s="9" t="s">
        <v>116</v>
      </c>
      <c r="G19" s="9" t="s">
        <v>522</v>
      </c>
      <c r="H19" s="9"/>
      <c r="I19" s="9" t="s">
        <v>523</v>
      </c>
      <c r="J19" s="9" t="s">
        <v>524</v>
      </c>
      <c r="K19" s="9" t="s">
        <v>524</v>
      </c>
      <c r="L19" s="8" t="s">
        <v>53</v>
      </c>
      <c r="M19" s="9" t="s">
        <v>526</v>
      </c>
      <c r="N19" s="9" t="s">
        <v>527</v>
      </c>
      <c r="O19" s="9" t="s">
        <v>10</v>
      </c>
      <c r="P19" s="8" t="s">
        <v>1279</v>
      </c>
      <c r="Q19" s="9"/>
      <c r="R19" s="3"/>
      <c r="S19" s="3"/>
      <c r="T19" s="3"/>
      <c r="U19" s="3"/>
      <c r="V19" s="3"/>
    </row>
    <row r="20" customFormat="false" ht="34.5" hidden="false" customHeight="true" outlineLevel="0" collapsed="false">
      <c r="A20" s="8" t="s">
        <v>463</v>
      </c>
      <c r="B20" s="8" t="s">
        <v>529</v>
      </c>
      <c r="C20" s="9" t="s">
        <v>530</v>
      </c>
      <c r="D20" s="9" t="s">
        <v>531</v>
      </c>
      <c r="E20" s="9" t="s">
        <v>532</v>
      </c>
      <c r="F20" s="9" t="s">
        <v>116</v>
      </c>
      <c r="G20" s="9" t="s">
        <v>533</v>
      </c>
      <c r="H20" s="9"/>
      <c r="I20" s="9" t="s">
        <v>534</v>
      </c>
      <c r="J20" s="9" t="s">
        <v>535</v>
      </c>
      <c r="K20" s="9" t="s">
        <v>535</v>
      </c>
      <c r="L20" s="8" t="s">
        <v>53</v>
      </c>
      <c r="M20" s="9" t="s">
        <v>537</v>
      </c>
      <c r="N20" s="9" t="s">
        <v>538</v>
      </c>
      <c r="O20" s="9" t="s">
        <v>10</v>
      </c>
      <c r="P20" s="8" t="s">
        <v>1279</v>
      </c>
      <c r="Q20" s="9"/>
      <c r="R20" s="3"/>
      <c r="S20" s="3"/>
      <c r="T20" s="3"/>
      <c r="U20" s="3"/>
      <c r="V20" s="3"/>
    </row>
    <row r="21" customFormat="false" ht="34.5" hidden="false" customHeight="true" outlineLevel="0" collapsed="false">
      <c r="A21" s="8" t="s">
        <v>463</v>
      </c>
      <c r="B21" s="8" t="s">
        <v>539</v>
      </c>
      <c r="C21" s="9" t="s">
        <v>540</v>
      </c>
      <c r="D21" s="9" t="s">
        <v>541</v>
      </c>
      <c r="E21" s="9" t="s">
        <v>542</v>
      </c>
      <c r="F21" s="9" t="s">
        <v>543</v>
      </c>
      <c r="G21" s="9" t="s">
        <v>544</v>
      </c>
      <c r="H21" s="9"/>
      <c r="I21" s="9" t="s">
        <v>545</v>
      </c>
      <c r="J21" s="9" t="s">
        <v>546</v>
      </c>
      <c r="K21" s="9" t="s">
        <v>546</v>
      </c>
      <c r="L21" s="8" t="s">
        <v>53</v>
      </c>
      <c r="M21" s="9" t="s">
        <v>548</v>
      </c>
      <c r="N21" s="9" t="s">
        <v>549</v>
      </c>
      <c r="O21" s="9" t="s">
        <v>8</v>
      </c>
      <c r="P21" s="8" t="s">
        <v>1279</v>
      </c>
      <c r="Q21" s="9"/>
      <c r="R21" s="3"/>
      <c r="S21" s="3"/>
      <c r="T21" s="3"/>
      <c r="U21" s="3"/>
      <c r="V21" s="3"/>
    </row>
    <row r="22" customFormat="false" ht="34.5" hidden="false" customHeight="true" outlineLevel="0" collapsed="false">
      <c r="A22" s="8" t="s">
        <v>555</v>
      </c>
      <c r="B22" s="8" t="s">
        <v>566</v>
      </c>
      <c r="C22" s="9" t="s">
        <v>567</v>
      </c>
      <c r="D22" s="9" t="s">
        <v>568</v>
      </c>
      <c r="E22" s="9" t="s">
        <v>569</v>
      </c>
      <c r="F22" s="9" t="s">
        <v>116</v>
      </c>
      <c r="G22" s="9" t="s">
        <v>570</v>
      </c>
      <c r="H22" s="9"/>
      <c r="I22" s="9" t="s">
        <v>571</v>
      </c>
      <c r="J22" s="9" t="s">
        <v>572</v>
      </c>
      <c r="K22" s="9" t="s">
        <v>572</v>
      </c>
      <c r="L22" s="8" t="s">
        <v>53</v>
      </c>
      <c r="M22" s="9" t="s">
        <v>574</v>
      </c>
      <c r="N22" s="9" t="s">
        <v>575</v>
      </c>
      <c r="O22" s="9" t="s">
        <v>10</v>
      </c>
      <c r="P22" s="8" t="s">
        <v>1279</v>
      </c>
      <c r="Q22" s="9"/>
      <c r="R22" s="3"/>
      <c r="S22" s="3"/>
      <c r="T22" s="3"/>
      <c r="U22" s="3"/>
      <c r="V22" s="3"/>
    </row>
    <row r="23" customFormat="false" ht="34.5" hidden="false" customHeight="true" outlineLevel="0" collapsed="false">
      <c r="A23" s="8" t="s">
        <v>555</v>
      </c>
      <c r="B23" s="8" t="s">
        <v>576</v>
      </c>
      <c r="C23" s="9" t="s">
        <v>577</v>
      </c>
      <c r="D23" s="9" t="s">
        <v>578</v>
      </c>
      <c r="E23" s="9" t="s">
        <v>579</v>
      </c>
      <c r="F23" s="9" t="s">
        <v>580</v>
      </c>
      <c r="G23" s="9" t="s">
        <v>581</v>
      </c>
      <c r="H23" s="9" t="s">
        <v>582</v>
      </c>
      <c r="I23" s="9" t="s">
        <v>583</v>
      </c>
      <c r="J23" s="9" t="s">
        <v>584</v>
      </c>
      <c r="K23" s="9" t="s">
        <v>584</v>
      </c>
      <c r="L23" s="8" t="s">
        <v>53</v>
      </c>
      <c r="M23" s="9" t="s">
        <v>586</v>
      </c>
      <c r="N23" s="9" t="s">
        <v>587</v>
      </c>
      <c r="O23" s="9" t="s">
        <v>8</v>
      </c>
      <c r="P23" s="8" t="s">
        <v>1279</v>
      </c>
      <c r="Q23" s="9"/>
      <c r="R23" s="3"/>
      <c r="S23" s="3"/>
      <c r="T23" s="3"/>
      <c r="U23" s="3"/>
      <c r="V23" s="3"/>
    </row>
    <row r="24" customFormat="false" ht="34.5" hidden="false" customHeight="true" outlineLevel="0" collapsed="false">
      <c r="A24" s="8" t="s">
        <v>555</v>
      </c>
      <c r="B24" s="8" t="s">
        <v>576</v>
      </c>
      <c r="C24" s="9" t="s">
        <v>589</v>
      </c>
      <c r="D24" s="9" t="s">
        <v>590</v>
      </c>
      <c r="E24" s="9" t="s">
        <v>591</v>
      </c>
      <c r="F24" s="9" t="s">
        <v>116</v>
      </c>
      <c r="G24" s="9" t="s">
        <v>592</v>
      </c>
      <c r="H24" s="9"/>
      <c r="I24" s="9" t="s">
        <v>593</v>
      </c>
      <c r="J24" s="9" t="s">
        <v>594</v>
      </c>
      <c r="K24" s="9" t="s">
        <v>594</v>
      </c>
      <c r="L24" s="8" t="s">
        <v>88</v>
      </c>
      <c r="M24" s="9" t="s">
        <v>596</v>
      </c>
      <c r="N24" s="9" t="s">
        <v>597</v>
      </c>
      <c r="O24" s="9" t="s">
        <v>10</v>
      </c>
      <c r="P24" s="8" t="s">
        <v>1279</v>
      </c>
      <c r="Q24" s="9"/>
      <c r="R24" s="3"/>
      <c r="S24" s="3"/>
      <c r="T24" s="3"/>
      <c r="U24" s="3"/>
      <c r="V24" s="3"/>
    </row>
    <row r="25" customFormat="false" ht="34.5" hidden="false" customHeight="true" outlineLevel="0" collapsed="false">
      <c r="A25" s="8" t="s">
        <v>555</v>
      </c>
      <c r="B25" s="8" t="s">
        <v>598</v>
      </c>
      <c r="C25" s="9" t="s">
        <v>599</v>
      </c>
      <c r="D25" s="9" t="s">
        <v>600</v>
      </c>
      <c r="E25" s="9" t="s">
        <v>601</v>
      </c>
      <c r="F25" s="9" t="s">
        <v>116</v>
      </c>
      <c r="G25" s="9" t="s">
        <v>602</v>
      </c>
      <c r="H25" s="9"/>
      <c r="I25" s="9" t="s">
        <v>603</v>
      </c>
      <c r="J25" s="9" t="s">
        <v>604</v>
      </c>
      <c r="K25" s="9" t="s">
        <v>604</v>
      </c>
      <c r="L25" s="8" t="s">
        <v>88</v>
      </c>
      <c r="M25" s="9" t="s">
        <v>606</v>
      </c>
      <c r="N25" s="9" t="s">
        <v>607</v>
      </c>
      <c r="O25" s="9" t="s">
        <v>8</v>
      </c>
      <c r="P25" s="8" t="s">
        <v>1279</v>
      </c>
      <c r="Q25" s="9"/>
      <c r="R25" s="3"/>
      <c r="S25" s="3"/>
      <c r="T25" s="3"/>
      <c r="U25" s="3"/>
      <c r="V25" s="3"/>
    </row>
    <row r="26" customFormat="false" ht="34.5" hidden="false" customHeight="true" outlineLevel="0" collapsed="false">
      <c r="A26" s="8" t="s">
        <v>641</v>
      </c>
      <c r="B26" s="8" t="s">
        <v>650</v>
      </c>
      <c r="C26" s="9" t="s">
        <v>670</v>
      </c>
      <c r="D26" s="9" t="s">
        <v>671</v>
      </c>
      <c r="E26" s="9" t="s">
        <v>672</v>
      </c>
      <c r="F26" s="9" t="s">
        <v>49</v>
      </c>
      <c r="G26" s="9" t="s">
        <v>673</v>
      </c>
      <c r="H26" s="9"/>
      <c r="I26" s="9" t="s">
        <v>674</v>
      </c>
      <c r="J26" s="9" t="s">
        <v>675</v>
      </c>
      <c r="K26" s="9" t="s">
        <v>675</v>
      </c>
      <c r="L26" s="8" t="s">
        <v>53</v>
      </c>
      <c r="M26" s="9" t="s">
        <v>677</v>
      </c>
      <c r="N26" s="9" t="s">
        <v>678</v>
      </c>
      <c r="O26" s="9" t="s">
        <v>10</v>
      </c>
      <c r="P26" s="8" t="s">
        <v>1279</v>
      </c>
      <c r="Q26" s="9"/>
      <c r="R26" s="3"/>
      <c r="S26" s="3"/>
      <c r="T26" s="3"/>
      <c r="U26" s="3"/>
      <c r="V26" s="3"/>
    </row>
    <row r="27" customFormat="false" ht="34.5" hidden="false" customHeight="true" outlineLevel="0" collapsed="false">
      <c r="A27" s="8" t="s">
        <v>641</v>
      </c>
      <c r="B27" s="8" t="s">
        <v>679</v>
      </c>
      <c r="C27" s="9" t="s">
        <v>680</v>
      </c>
      <c r="D27" s="9" t="s">
        <v>681</v>
      </c>
      <c r="E27" s="9" t="s">
        <v>682</v>
      </c>
      <c r="F27" s="9" t="s">
        <v>683</v>
      </c>
      <c r="G27" s="9" t="s">
        <v>684</v>
      </c>
      <c r="H27" s="9"/>
      <c r="I27" s="9" t="s">
        <v>685</v>
      </c>
      <c r="J27" s="9" t="s">
        <v>686</v>
      </c>
      <c r="K27" s="9" t="s">
        <v>686</v>
      </c>
      <c r="L27" s="8" t="s">
        <v>53</v>
      </c>
      <c r="M27" s="9" t="s">
        <v>688</v>
      </c>
      <c r="N27" s="9" t="s">
        <v>689</v>
      </c>
      <c r="O27" s="9" t="s">
        <v>10</v>
      </c>
      <c r="P27" s="8" t="s">
        <v>1279</v>
      </c>
      <c r="Q27" s="9"/>
      <c r="R27" s="3"/>
      <c r="S27" s="3"/>
      <c r="T27" s="3"/>
      <c r="U27" s="3"/>
      <c r="V27" s="3"/>
    </row>
    <row r="28" customFormat="false" ht="34.5" hidden="false" customHeight="true" outlineLevel="0" collapsed="false">
      <c r="A28" s="8" t="s">
        <v>641</v>
      </c>
      <c r="B28" s="8" t="s">
        <v>650</v>
      </c>
      <c r="C28" s="9" t="s">
        <v>690</v>
      </c>
      <c r="D28" s="9" t="s">
        <v>691</v>
      </c>
      <c r="E28" s="9" t="s">
        <v>692</v>
      </c>
      <c r="F28" s="9" t="s">
        <v>693</v>
      </c>
      <c r="G28" s="9" t="s">
        <v>694</v>
      </c>
      <c r="H28" s="9"/>
      <c r="I28" s="9" t="s">
        <v>695</v>
      </c>
      <c r="J28" s="9" t="s">
        <v>696</v>
      </c>
      <c r="K28" s="9" t="s">
        <v>696</v>
      </c>
      <c r="L28" s="8" t="s">
        <v>53</v>
      </c>
      <c r="M28" s="9" t="s">
        <v>698</v>
      </c>
      <c r="N28" s="9" t="s">
        <v>699</v>
      </c>
      <c r="O28" s="9" t="s">
        <v>10</v>
      </c>
      <c r="P28" s="8" t="s">
        <v>1279</v>
      </c>
      <c r="Q28" s="9"/>
      <c r="R28" s="3"/>
      <c r="S28" s="3"/>
      <c r="T28" s="3"/>
      <c r="U28" s="3"/>
      <c r="V28" s="3"/>
    </row>
    <row r="29" customFormat="false" ht="34.5" hidden="false" customHeight="true" outlineLevel="0" collapsed="false">
      <c r="A29" s="8" t="s">
        <v>777</v>
      </c>
      <c r="B29" s="8" t="s">
        <v>788</v>
      </c>
      <c r="C29" s="9" t="s">
        <v>789</v>
      </c>
      <c r="D29" s="9" t="s">
        <v>790</v>
      </c>
      <c r="E29" s="9" t="s">
        <v>791</v>
      </c>
      <c r="F29" s="9" t="s">
        <v>792</v>
      </c>
      <c r="G29" s="9" t="s">
        <v>793</v>
      </c>
      <c r="H29" s="9"/>
      <c r="I29" s="9" t="s">
        <v>794</v>
      </c>
      <c r="J29" s="9" t="s">
        <v>795</v>
      </c>
      <c r="K29" s="9" t="s">
        <v>795</v>
      </c>
      <c r="L29" s="8" t="s">
        <v>53</v>
      </c>
      <c r="M29" s="9" t="s">
        <v>797</v>
      </c>
      <c r="N29" s="9" t="s">
        <v>798</v>
      </c>
      <c r="O29" s="9" t="s">
        <v>10</v>
      </c>
      <c r="P29" s="8" t="s">
        <v>1279</v>
      </c>
      <c r="Q29" s="9"/>
      <c r="R29" s="3"/>
      <c r="S29" s="3"/>
      <c r="T29" s="3"/>
      <c r="U29" s="3"/>
      <c r="V29" s="3"/>
    </row>
    <row r="30" customFormat="false" ht="34.5" hidden="false" customHeight="true" outlineLevel="0" collapsed="false">
      <c r="A30" s="8" t="s">
        <v>777</v>
      </c>
      <c r="B30" s="8" t="s">
        <v>788</v>
      </c>
      <c r="C30" s="9" t="s">
        <v>799</v>
      </c>
      <c r="D30" s="9" t="s">
        <v>800</v>
      </c>
      <c r="E30" s="9" t="s">
        <v>801</v>
      </c>
      <c r="F30" s="9" t="s">
        <v>148</v>
      </c>
      <c r="G30" s="9" t="s">
        <v>802</v>
      </c>
      <c r="H30" s="9" t="s">
        <v>803</v>
      </c>
      <c r="I30" s="9" t="s">
        <v>804</v>
      </c>
      <c r="J30" s="9" t="s">
        <v>805</v>
      </c>
      <c r="K30" s="9" t="s">
        <v>805</v>
      </c>
      <c r="L30" s="8" t="s">
        <v>53</v>
      </c>
      <c r="M30" s="9" t="s">
        <v>807</v>
      </c>
      <c r="N30" s="9" t="s">
        <v>808</v>
      </c>
      <c r="O30" s="9" t="s">
        <v>8</v>
      </c>
      <c r="P30" s="8" t="s">
        <v>1279</v>
      </c>
      <c r="Q30" s="9"/>
      <c r="R30" s="3"/>
      <c r="S30" s="3"/>
      <c r="T30" s="3"/>
      <c r="U30" s="3"/>
      <c r="V30" s="3"/>
    </row>
    <row r="31" customFormat="false" ht="34.5" hidden="false" customHeight="true" outlineLevel="0" collapsed="false">
      <c r="A31" s="8" t="s">
        <v>777</v>
      </c>
      <c r="B31" s="8" t="s">
        <v>809</v>
      </c>
      <c r="C31" s="9" t="s">
        <v>810</v>
      </c>
      <c r="D31" s="9" t="s">
        <v>811</v>
      </c>
      <c r="E31" s="9" t="s">
        <v>812</v>
      </c>
      <c r="F31" s="9" t="s">
        <v>813</v>
      </c>
      <c r="G31" s="9" t="s">
        <v>814</v>
      </c>
      <c r="H31" s="9" t="s">
        <v>815</v>
      </c>
      <c r="I31" s="9" t="s">
        <v>816</v>
      </c>
      <c r="J31" s="9" t="s">
        <v>817</v>
      </c>
      <c r="K31" s="9" t="s">
        <v>817</v>
      </c>
      <c r="L31" s="8" t="s">
        <v>53</v>
      </c>
      <c r="M31" s="9" t="s">
        <v>819</v>
      </c>
      <c r="N31" s="9" t="s">
        <v>820</v>
      </c>
      <c r="O31" s="9" t="s">
        <v>8</v>
      </c>
      <c r="P31" s="8" t="s">
        <v>1279</v>
      </c>
      <c r="Q31" s="9"/>
      <c r="R31" s="3"/>
      <c r="S31" s="3"/>
      <c r="T31" s="3"/>
      <c r="U31" s="3"/>
      <c r="V31" s="3"/>
    </row>
    <row r="32" customFormat="false" ht="34.5" hidden="false" customHeight="true" outlineLevel="0" collapsed="false">
      <c r="A32" s="8" t="s">
        <v>854</v>
      </c>
      <c r="B32" s="8" t="s">
        <v>864</v>
      </c>
      <c r="C32" s="9" t="s">
        <v>865</v>
      </c>
      <c r="D32" s="9" t="s">
        <v>866</v>
      </c>
      <c r="E32" s="9" t="s">
        <v>867</v>
      </c>
      <c r="F32" s="9" t="s">
        <v>868</v>
      </c>
      <c r="G32" s="9" t="s">
        <v>869</v>
      </c>
      <c r="H32" s="9" t="s">
        <v>870</v>
      </c>
      <c r="I32" s="9" t="s">
        <v>871</v>
      </c>
      <c r="J32" s="9" t="s">
        <v>872</v>
      </c>
      <c r="K32" s="9" t="s">
        <v>872</v>
      </c>
      <c r="L32" s="8" t="s">
        <v>53</v>
      </c>
      <c r="M32" s="9" t="s">
        <v>874</v>
      </c>
      <c r="N32" s="9" t="s">
        <v>875</v>
      </c>
      <c r="O32" s="9" t="s">
        <v>10</v>
      </c>
      <c r="P32" s="8" t="s">
        <v>1279</v>
      </c>
      <c r="Q32" s="9"/>
      <c r="R32" s="3"/>
      <c r="S32" s="3"/>
      <c r="T32" s="3"/>
      <c r="U32" s="3"/>
      <c r="V32" s="3"/>
    </row>
    <row r="33" customFormat="false" ht="34.5" hidden="false" customHeight="true" outlineLevel="0" collapsed="false">
      <c r="A33" s="8" t="s">
        <v>854</v>
      </c>
      <c r="B33" s="8" t="s">
        <v>877</v>
      </c>
      <c r="C33" s="9" t="s">
        <v>878</v>
      </c>
      <c r="D33" s="9" t="s">
        <v>879</v>
      </c>
      <c r="E33" s="9" t="s">
        <v>880</v>
      </c>
      <c r="F33" s="9" t="s">
        <v>881</v>
      </c>
      <c r="G33" s="9" t="s">
        <v>882</v>
      </c>
      <c r="H33" s="9" t="s">
        <v>883</v>
      </c>
      <c r="I33" s="9"/>
      <c r="J33" s="9" t="s">
        <v>884</v>
      </c>
      <c r="K33" s="9" t="s">
        <v>884</v>
      </c>
      <c r="L33" s="8" t="s">
        <v>53</v>
      </c>
      <c r="M33" s="9" t="s">
        <v>885</v>
      </c>
      <c r="N33" s="9" t="s">
        <v>143</v>
      </c>
      <c r="O33" s="9" t="s">
        <v>8</v>
      </c>
      <c r="P33" s="8" t="s">
        <v>1279</v>
      </c>
      <c r="Q33" s="9" t="s">
        <v>144</v>
      </c>
      <c r="R33" s="3"/>
      <c r="S33" s="3"/>
      <c r="T33" s="3"/>
      <c r="U33" s="3"/>
      <c r="V33" s="3"/>
    </row>
    <row r="34" customFormat="false" ht="34.5" hidden="false" customHeight="true" outlineLevel="0" collapsed="false">
      <c r="A34" s="8" t="s">
        <v>892</v>
      </c>
      <c r="B34" s="8" t="s">
        <v>914</v>
      </c>
      <c r="C34" s="9" t="s">
        <v>915</v>
      </c>
      <c r="D34" s="9" t="s">
        <v>916</v>
      </c>
      <c r="E34" s="9" t="s">
        <v>917</v>
      </c>
      <c r="F34" s="9" t="s">
        <v>116</v>
      </c>
      <c r="G34" s="9" t="s">
        <v>918</v>
      </c>
      <c r="H34" s="9"/>
      <c r="I34" s="9" t="s">
        <v>919</v>
      </c>
      <c r="J34" s="9" t="s">
        <v>920</v>
      </c>
      <c r="K34" s="9" t="s">
        <v>920</v>
      </c>
      <c r="L34" s="8" t="s">
        <v>53</v>
      </c>
      <c r="M34" s="9" t="s">
        <v>922</v>
      </c>
      <c r="N34" s="9" t="s">
        <v>923</v>
      </c>
      <c r="O34" s="9" t="s">
        <v>10</v>
      </c>
      <c r="P34" s="8" t="s">
        <v>1279</v>
      </c>
      <c r="Q34" s="9"/>
      <c r="R34" s="3"/>
      <c r="S34" s="3"/>
      <c r="T34" s="3"/>
      <c r="U34" s="3"/>
      <c r="V34" s="3"/>
    </row>
    <row r="35" customFormat="false" ht="34.5" hidden="false" customHeight="true" outlineLevel="0" collapsed="false">
      <c r="A35" s="8" t="s">
        <v>892</v>
      </c>
      <c r="B35" s="8" t="s">
        <v>893</v>
      </c>
      <c r="C35" s="9" t="s">
        <v>924</v>
      </c>
      <c r="D35" s="9" t="s">
        <v>925</v>
      </c>
      <c r="E35" s="9" t="s">
        <v>926</v>
      </c>
      <c r="F35" s="9" t="s">
        <v>116</v>
      </c>
      <c r="G35" s="9" t="s">
        <v>927</v>
      </c>
      <c r="H35" s="9"/>
      <c r="I35" s="9" t="s">
        <v>928</v>
      </c>
      <c r="J35" s="9" t="s">
        <v>929</v>
      </c>
      <c r="K35" s="9" t="s">
        <v>929</v>
      </c>
      <c r="L35" s="8" t="s">
        <v>53</v>
      </c>
      <c r="M35" s="9" t="s">
        <v>931</v>
      </c>
      <c r="N35" s="9" t="s">
        <v>932</v>
      </c>
      <c r="O35" s="9" t="s">
        <v>10</v>
      </c>
      <c r="P35" s="8" t="s">
        <v>1279</v>
      </c>
      <c r="Q35" s="9"/>
      <c r="R35" s="3"/>
      <c r="S35" s="3"/>
      <c r="T35" s="3"/>
      <c r="U35" s="3"/>
      <c r="V35" s="3"/>
    </row>
    <row r="36" customFormat="false" ht="34.5" hidden="false" customHeight="true" outlineLevel="0" collapsed="false">
      <c r="A36" s="8" t="s">
        <v>940</v>
      </c>
      <c r="B36" s="8" t="s">
        <v>941</v>
      </c>
      <c r="C36" s="9" t="s">
        <v>942</v>
      </c>
      <c r="D36" s="9" t="s">
        <v>943</v>
      </c>
      <c r="E36" s="9" t="s">
        <v>944</v>
      </c>
      <c r="F36" s="9" t="s">
        <v>282</v>
      </c>
      <c r="G36" s="9" t="s">
        <v>945</v>
      </c>
      <c r="H36" s="9" t="s">
        <v>946</v>
      </c>
      <c r="I36" s="9" t="s">
        <v>947</v>
      </c>
      <c r="J36" s="9" t="s">
        <v>948</v>
      </c>
      <c r="K36" s="9" t="s">
        <v>948</v>
      </c>
      <c r="L36" s="8" t="s">
        <v>53</v>
      </c>
      <c r="M36" s="9" t="s">
        <v>950</v>
      </c>
      <c r="N36" s="9" t="s">
        <v>951</v>
      </c>
      <c r="O36" s="9" t="s">
        <v>8</v>
      </c>
      <c r="P36" s="8" t="s">
        <v>1279</v>
      </c>
      <c r="Q36" s="9"/>
      <c r="R36" s="3"/>
      <c r="S36" s="3"/>
      <c r="T36" s="3"/>
      <c r="U36" s="3"/>
      <c r="V36" s="3"/>
    </row>
    <row r="37" customFormat="false" ht="34.5" hidden="false" customHeight="true" outlineLevel="0" collapsed="false">
      <c r="A37" s="8" t="s">
        <v>960</v>
      </c>
      <c r="B37" s="8" t="s">
        <v>961</v>
      </c>
      <c r="C37" s="9" t="s">
        <v>996</v>
      </c>
      <c r="D37" s="9" t="s">
        <v>997</v>
      </c>
      <c r="E37" s="9" t="s">
        <v>998</v>
      </c>
      <c r="F37" s="9" t="s">
        <v>116</v>
      </c>
      <c r="G37" s="9" t="s">
        <v>999</v>
      </c>
      <c r="H37" s="9"/>
      <c r="I37" s="9"/>
      <c r="J37" s="9" t="s">
        <v>64</v>
      </c>
      <c r="K37" s="9" t="s">
        <v>64</v>
      </c>
      <c r="L37" s="8" t="s">
        <v>53</v>
      </c>
      <c r="M37" s="9" t="s">
        <v>1001</v>
      </c>
      <c r="N37" s="9" t="s">
        <v>1002</v>
      </c>
      <c r="O37" s="9" t="s">
        <v>10</v>
      </c>
      <c r="P37" s="8" t="s">
        <v>1279</v>
      </c>
      <c r="Q37" s="9"/>
      <c r="R37" s="3"/>
      <c r="S37" s="3"/>
      <c r="T37" s="3"/>
      <c r="U37" s="3"/>
      <c r="V37" s="3"/>
    </row>
    <row r="38" customFormat="false" ht="34.5" hidden="false" customHeight="true" outlineLevel="0" collapsed="false">
      <c r="A38" s="8" t="s">
        <v>960</v>
      </c>
      <c r="B38" s="8" t="s">
        <v>1004</v>
      </c>
      <c r="C38" s="9" t="s">
        <v>1005</v>
      </c>
      <c r="D38" s="9" t="s">
        <v>1006</v>
      </c>
      <c r="E38" s="9" t="s">
        <v>1007</v>
      </c>
      <c r="F38" s="9" t="s">
        <v>1008</v>
      </c>
      <c r="G38" s="9" t="s">
        <v>1009</v>
      </c>
      <c r="H38" s="9" t="s">
        <v>1010</v>
      </c>
      <c r="I38" s="9" t="s">
        <v>1011</v>
      </c>
      <c r="J38" s="9" t="s">
        <v>1012</v>
      </c>
      <c r="K38" s="9" t="s">
        <v>1012</v>
      </c>
      <c r="L38" s="8" t="s">
        <v>53</v>
      </c>
      <c r="M38" s="9" t="s">
        <v>1014</v>
      </c>
      <c r="N38" s="9" t="s">
        <v>1015</v>
      </c>
      <c r="O38" s="9" t="s">
        <v>8</v>
      </c>
      <c r="P38" s="8" t="s">
        <v>1279</v>
      </c>
      <c r="Q38" s="9"/>
      <c r="R38" s="3"/>
      <c r="S38" s="3"/>
      <c r="T38" s="3"/>
      <c r="U38" s="3"/>
      <c r="V38" s="3"/>
    </row>
    <row r="39" customFormat="false" ht="34.5" hidden="false" customHeight="true" outlineLevel="0" collapsed="false">
      <c r="A39" s="8" t="s">
        <v>960</v>
      </c>
      <c r="B39" s="8" t="s">
        <v>972</v>
      </c>
      <c r="C39" s="9" t="s">
        <v>1017</v>
      </c>
      <c r="D39" s="9" t="s">
        <v>1018</v>
      </c>
      <c r="E39" s="9" t="s">
        <v>1019</v>
      </c>
      <c r="F39" s="9" t="s">
        <v>148</v>
      </c>
      <c r="G39" s="9" t="s">
        <v>1020</v>
      </c>
      <c r="H39" s="9"/>
      <c r="I39" s="9" t="s">
        <v>1021</v>
      </c>
      <c r="J39" s="9" t="s">
        <v>1022</v>
      </c>
      <c r="K39" s="9" t="s">
        <v>1022</v>
      </c>
      <c r="L39" s="8" t="s">
        <v>53</v>
      </c>
      <c r="M39" s="9" t="s">
        <v>1024</v>
      </c>
      <c r="N39" s="9" t="s">
        <v>1025</v>
      </c>
      <c r="O39" s="9" t="s">
        <v>8</v>
      </c>
      <c r="P39" s="8" t="s">
        <v>1279</v>
      </c>
      <c r="Q39" s="9"/>
      <c r="R39" s="3"/>
      <c r="S39" s="3"/>
      <c r="T39" s="3"/>
      <c r="U39" s="3"/>
      <c r="V39" s="3"/>
    </row>
    <row r="40" customFormat="false" ht="34.5" hidden="false" customHeight="true" outlineLevel="0" collapsed="false">
      <c r="A40" s="8" t="s">
        <v>960</v>
      </c>
      <c r="B40" s="8" t="s">
        <v>1026</v>
      </c>
      <c r="C40" s="9" t="s">
        <v>1027</v>
      </c>
      <c r="D40" s="9" t="s">
        <v>1028</v>
      </c>
      <c r="E40" s="9" t="s">
        <v>1029</v>
      </c>
      <c r="F40" s="9" t="s">
        <v>148</v>
      </c>
      <c r="G40" s="9" t="s">
        <v>1030</v>
      </c>
      <c r="H40" s="9"/>
      <c r="I40" s="9" t="s">
        <v>1031</v>
      </c>
      <c r="J40" s="9" t="s">
        <v>1022</v>
      </c>
      <c r="K40" s="9" t="s">
        <v>1022</v>
      </c>
      <c r="L40" s="8" t="s">
        <v>88</v>
      </c>
      <c r="M40" s="9" t="s">
        <v>1033</v>
      </c>
      <c r="N40" s="9" t="s">
        <v>1034</v>
      </c>
      <c r="O40" s="9" t="s">
        <v>8</v>
      </c>
      <c r="P40" s="8" t="s">
        <v>1279</v>
      </c>
      <c r="Q40" s="9"/>
      <c r="R40" s="3"/>
      <c r="S40" s="3"/>
      <c r="T40" s="3"/>
      <c r="U40" s="3"/>
      <c r="V40" s="3"/>
    </row>
    <row r="41" customFormat="false" ht="34.5" hidden="false" customHeight="true" outlineLevel="0" collapsed="false">
      <c r="A41" s="8" t="s">
        <v>960</v>
      </c>
      <c r="B41" s="8" t="s">
        <v>1035</v>
      </c>
      <c r="C41" s="9" t="s">
        <v>1036</v>
      </c>
      <c r="D41" s="9" t="s">
        <v>1037</v>
      </c>
      <c r="E41" s="9" t="s">
        <v>1038</v>
      </c>
      <c r="F41" s="9" t="s">
        <v>1039</v>
      </c>
      <c r="G41" s="9" t="s">
        <v>1040</v>
      </c>
      <c r="H41" s="9" t="s">
        <v>1041</v>
      </c>
      <c r="I41" s="9" t="s">
        <v>1042</v>
      </c>
      <c r="J41" s="9" t="s">
        <v>1043</v>
      </c>
      <c r="K41" s="9" t="s">
        <v>1043</v>
      </c>
      <c r="L41" s="8" t="s">
        <v>53</v>
      </c>
      <c r="M41" s="9" t="s">
        <v>1045</v>
      </c>
      <c r="N41" s="9" t="s">
        <v>1046</v>
      </c>
      <c r="O41" s="9" t="s">
        <v>8</v>
      </c>
      <c r="P41" s="8" t="s">
        <v>1279</v>
      </c>
      <c r="Q41" s="9"/>
      <c r="R41" s="3"/>
      <c r="S41" s="3"/>
      <c r="T41" s="3"/>
      <c r="U41" s="3"/>
      <c r="V41" s="3"/>
    </row>
    <row r="42" customFormat="false" ht="34.5" hidden="false" customHeight="true" outlineLevel="0" collapsed="false">
      <c r="A42" s="8" t="s">
        <v>1056</v>
      </c>
      <c r="B42" s="8" t="s">
        <v>1057</v>
      </c>
      <c r="C42" s="9" t="s">
        <v>1099</v>
      </c>
      <c r="D42" s="9" t="s">
        <v>1100</v>
      </c>
      <c r="E42" s="9" t="s">
        <v>1101</v>
      </c>
      <c r="F42" s="9" t="s">
        <v>272</v>
      </c>
      <c r="G42" s="9" t="s">
        <v>1102</v>
      </c>
      <c r="H42" s="9" t="s">
        <v>1103</v>
      </c>
      <c r="I42" s="9"/>
      <c r="J42" s="9" t="s">
        <v>1104</v>
      </c>
      <c r="K42" s="9" t="s">
        <v>1104</v>
      </c>
      <c r="L42" s="8" t="s">
        <v>53</v>
      </c>
      <c r="M42" s="9" t="s">
        <v>1106</v>
      </c>
      <c r="N42" s="9" t="s">
        <v>1107</v>
      </c>
      <c r="O42" s="9" t="s">
        <v>10</v>
      </c>
      <c r="P42" s="8" t="s">
        <v>1279</v>
      </c>
      <c r="Q42" s="9"/>
      <c r="R42" s="3"/>
      <c r="S42" s="3"/>
      <c r="T42" s="3"/>
      <c r="U42" s="3"/>
      <c r="V42" s="3"/>
    </row>
    <row r="43" customFormat="false" ht="34.5" hidden="false" customHeight="true" outlineLevel="0" collapsed="false">
      <c r="A43" s="8" t="s">
        <v>1056</v>
      </c>
      <c r="B43" s="8" t="s">
        <v>1057</v>
      </c>
      <c r="C43" s="9" t="s">
        <v>1108</v>
      </c>
      <c r="D43" s="9" t="s">
        <v>1109</v>
      </c>
      <c r="E43" s="9" t="s">
        <v>1110</v>
      </c>
      <c r="F43" s="9" t="s">
        <v>116</v>
      </c>
      <c r="G43" s="9" t="s">
        <v>1111</v>
      </c>
      <c r="H43" s="9"/>
      <c r="I43" s="9" t="s">
        <v>1112</v>
      </c>
      <c r="J43" s="9" t="s">
        <v>1113</v>
      </c>
      <c r="K43" s="9" t="s">
        <v>1113</v>
      </c>
      <c r="L43" s="8" t="s">
        <v>53</v>
      </c>
      <c r="M43" s="9" t="s">
        <v>1115</v>
      </c>
      <c r="N43" s="9" t="s">
        <v>1116</v>
      </c>
      <c r="O43" s="9" t="s">
        <v>10</v>
      </c>
      <c r="P43" s="8" t="s">
        <v>1279</v>
      </c>
      <c r="Q43" s="9"/>
      <c r="R43" s="3"/>
      <c r="S43" s="3"/>
      <c r="T43" s="3"/>
      <c r="U43" s="3"/>
      <c r="V43" s="3"/>
    </row>
    <row r="44" customFormat="false" ht="34.5" hidden="false" customHeight="true" outlineLevel="0" collapsed="false">
      <c r="A44" s="8" t="s">
        <v>1141</v>
      </c>
      <c r="B44" s="8" t="s">
        <v>1153</v>
      </c>
      <c r="C44" s="9" t="s">
        <v>1174</v>
      </c>
      <c r="D44" s="9" t="s">
        <v>1175</v>
      </c>
      <c r="E44" s="9" t="s">
        <v>1176</v>
      </c>
      <c r="F44" s="9" t="s">
        <v>380</v>
      </c>
      <c r="G44" s="9" t="s">
        <v>1177</v>
      </c>
      <c r="H44" s="9"/>
      <c r="I44" s="9" t="s">
        <v>1178</v>
      </c>
      <c r="J44" s="9" t="s">
        <v>1179</v>
      </c>
      <c r="K44" s="9" t="s">
        <v>1179</v>
      </c>
      <c r="L44" s="8" t="s">
        <v>53</v>
      </c>
      <c r="M44" s="9" t="s">
        <v>1181</v>
      </c>
      <c r="N44" s="9" t="s">
        <v>1182</v>
      </c>
      <c r="O44" s="9" t="s">
        <v>8</v>
      </c>
      <c r="P44" s="8" t="s">
        <v>1279</v>
      </c>
      <c r="Q44" s="9"/>
      <c r="R44" s="3"/>
      <c r="S44" s="3"/>
      <c r="T44" s="3"/>
      <c r="U44" s="3"/>
      <c r="V44" s="3"/>
    </row>
    <row r="45" customFormat="false" ht="34.5" hidden="false" customHeight="true" outlineLevel="0" collapsed="false">
      <c r="A45" s="8" t="s">
        <v>1141</v>
      </c>
      <c r="B45" s="8" t="s">
        <v>1183</v>
      </c>
      <c r="C45" s="9" t="s">
        <v>1184</v>
      </c>
      <c r="D45" s="9" t="s">
        <v>1185</v>
      </c>
      <c r="E45" s="9" t="s">
        <v>1186</v>
      </c>
      <c r="F45" s="9" t="s">
        <v>116</v>
      </c>
      <c r="G45" s="9" t="s">
        <v>1187</v>
      </c>
      <c r="H45" s="9"/>
      <c r="I45" s="9" t="s">
        <v>1188</v>
      </c>
      <c r="J45" s="9" t="s">
        <v>1189</v>
      </c>
      <c r="K45" s="9" t="s">
        <v>1189</v>
      </c>
      <c r="L45" s="8" t="s">
        <v>53</v>
      </c>
      <c r="M45" s="9" t="s">
        <v>1191</v>
      </c>
      <c r="N45" s="9" t="s">
        <v>1192</v>
      </c>
      <c r="O45" s="9" t="s">
        <v>10</v>
      </c>
      <c r="P45" s="8" t="s">
        <v>1279</v>
      </c>
      <c r="Q45" s="9"/>
      <c r="R45" s="3"/>
      <c r="S45" s="3"/>
      <c r="T45" s="3"/>
      <c r="U45" s="3"/>
      <c r="V45" s="3"/>
    </row>
    <row r="46" customFormat="false" ht="34.5" hidden="false" customHeight="true" outlineLevel="0" collapsed="false">
      <c r="A46" s="8" t="s">
        <v>1199</v>
      </c>
      <c r="B46" s="8" t="s">
        <v>1209</v>
      </c>
      <c r="C46" s="9" t="s">
        <v>1210</v>
      </c>
      <c r="D46" s="9" t="s">
        <v>1211</v>
      </c>
      <c r="E46" s="9" t="s">
        <v>1212</v>
      </c>
      <c r="F46" s="9" t="s">
        <v>1213</v>
      </c>
      <c r="G46" s="9" t="s">
        <v>1214</v>
      </c>
      <c r="H46" s="9"/>
      <c r="I46" s="9" t="s">
        <v>1215</v>
      </c>
      <c r="J46" s="9" t="s">
        <v>1216</v>
      </c>
      <c r="K46" s="9" t="s">
        <v>1216</v>
      </c>
      <c r="L46" s="8" t="s">
        <v>53</v>
      </c>
      <c r="M46" s="9" t="s">
        <v>1218</v>
      </c>
      <c r="N46" s="9" t="s">
        <v>1219</v>
      </c>
      <c r="O46" s="9" t="s">
        <v>10</v>
      </c>
      <c r="P46" s="8" t="s">
        <v>1279</v>
      </c>
      <c r="Q46" s="9"/>
      <c r="R46" s="3"/>
      <c r="S46" s="3"/>
      <c r="T46" s="3"/>
      <c r="U46" s="3"/>
      <c r="V46" s="3"/>
    </row>
    <row r="47" customFormat="false" ht="34.5" hidden="false" customHeight="true" outlineLevel="0" collapsed="false">
      <c r="A47" s="8" t="s">
        <v>1199</v>
      </c>
      <c r="B47" s="8" t="s">
        <v>1220</v>
      </c>
      <c r="C47" s="9" t="s">
        <v>1221</v>
      </c>
      <c r="D47" s="9" t="s">
        <v>1222</v>
      </c>
      <c r="E47" s="9" t="s">
        <v>1223</v>
      </c>
      <c r="F47" s="9" t="s">
        <v>1224</v>
      </c>
      <c r="G47" s="9" t="s">
        <v>1225</v>
      </c>
      <c r="H47" s="9" t="s">
        <v>1226</v>
      </c>
      <c r="I47" s="9" t="s">
        <v>1227</v>
      </c>
      <c r="J47" s="9" t="s">
        <v>1228</v>
      </c>
      <c r="K47" s="9" t="s">
        <v>1228</v>
      </c>
      <c r="L47" s="8" t="s">
        <v>53</v>
      </c>
      <c r="M47" s="9" t="s">
        <v>1230</v>
      </c>
      <c r="N47" s="9" t="s">
        <v>1231</v>
      </c>
      <c r="O47" s="9" t="s">
        <v>8</v>
      </c>
      <c r="P47" s="8" t="s">
        <v>1279</v>
      </c>
      <c r="Q47" s="9"/>
      <c r="R47" s="3"/>
      <c r="S47" s="3"/>
      <c r="T47" s="3"/>
      <c r="U47" s="3"/>
      <c r="V47" s="3"/>
    </row>
    <row r="48" customFormat="false" ht="34.5" hidden="false" customHeight="true" outlineLevel="0" collapsed="false">
      <c r="A48" s="8" t="s">
        <v>1238</v>
      </c>
      <c r="B48" s="8" t="s">
        <v>1249</v>
      </c>
      <c r="C48" s="9" t="s">
        <v>1250</v>
      </c>
      <c r="D48" s="9" t="s">
        <v>1251</v>
      </c>
      <c r="E48" s="9" t="s">
        <v>1252</v>
      </c>
      <c r="F48" s="9" t="s">
        <v>1253</v>
      </c>
      <c r="G48" s="9" t="s">
        <v>1254</v>
      </c>
      <c r="H48" s="9"/>
      <c r="I48" s="9" t="s">
        <v>1255</v>
      </c>
      <c r="J48" s="9" t="s">
        <v>1256</v>
      </c>
      <c r="K48" s="9" t="s">
        <v>1256</v>
      </c>
      <c r="L48" s="8" t="s">
        <v>53</v>
      </c>
      <c r="M48" s="9" t="s">
        <v>1257</v>
      </c>
      <c r="N48" s="9" t="s">
        <v>143</v>
      </c>
      <c r="O48" s="9" t="s">
        <v>8</v>
      </c>
      <c r="P48" s="8" t="s">
        <v>1279</v>
      </c>
      <c r="Q48" s="9" t="s">
        <v>144</v>
      </c>
      <c r="R48" s="3"/>
      <c r="S48" s="3"/>
      <c r="T48" s="3"/>
      <c r="U48" s="3"/>
      <c r="V48" s="3"/>
    </row>
    <row r="49" customFormat="false" ht="57" hidden="false" customHeight="true" outlineLevel="0" collapsed="false">
      <c r="A49" s="8" t="s">
        <v>1238</v>
      </c>
      <c r="B49" s="8" t="s">
        <v>1258</v>
      </c>
      <c r="C49" s="9" t="s">
        <v>1259</v>
      </c>
      <c r="D49" s="9" t="s">
        <v>541</v>
      </c>
      <c r="E49" s="9" t="s">
        <v>1260</v>
      </c>
      <c r="F49" s="9" t="s">
        <v>116</v>
      </c>
      <c r="G49" s="9" t="s">
        <v>1261</v>
      </c>
      <c r="H49" s="9" t="s">
        <v>1262</v>
      </c>
      <c r="I49" s="9"/>
      <c r="J49" s="9" t="s">
        <v>1263</v>
      </c>
      <c r="K49" s="9" t="s">
        <v>1263</v>
      </c>
      <c r="L49" s="8" t="s">
        <v>88</v>
      </c>
      <c r="M49" s="9" t="s">
        <v>548</v>
      </c>
      <c r="N49" s="9" t="s">
        <v>1265</v>
      </c>
      <c r="O49" s="9" t="s">
        <v>8</v>
      </c>
      <c r="P49" s="8" t="s">
        <v>1279</v>
      </c>
      <c r="Q49" s="9"/>
      <c r="R49" s="3"/>
      <c r="S49" s="3"/>
      <c r="T49" s="3"/>
      <c r="U49" s="3"/>
      <c r="V49" s="3"/>
    </row>
    <row r="50" customFormat="false" ht="34.5" hidden="false" customHeight="true" outlineLevel="0" collapsed="false">
      <c r="A50" s="8" t="s">
        <v>1238</v>
      </c>
      <c r="B50" s="8" t="s">
        <v>1239</v>
      </c>
      <c r="C50" s="9" t="s">
        <v>1266</v>
      </c>
      <c r="D50" s="9" t="s">
        <v>1267</v>
      </c>
      <c r="E50" s="9" t="s">
        <v>1268</v>
      </c>
      <c r="F50" s="9" t="s">
        <v>1269</v>
      </c>
      <c r="G50" s="9" t="s">
        <v>1270</v>
      </c>
      <c r="H50" s="9" t="s">
        <v>1271</v>
      </c>
      <c r="I50" s="9"/>
      <c r="J50" s="9" t="s">
        <v>1272</v>
      </c>
      <c r="K50" s="9" t="s">
        <v>1272</v>
      </c>
      <c r="L50" s="8" t="s">
        <v>53</v>
      </c>
      <c r="M50" s="9" t="s">
        <v>1273</v>
      </c>
      <c r="N50" s="9" t="s">
        <v>143</v>
      </c>
      <c r="O50" s="9" t="s">
        <v>10</v>
      </c>
      <c r="P50" s="8" t="s">
        <v>1279</v>
      </c>
      <c r="Q50" s="9" t="s">
        <v>144</v>
      </c>
      <c r="R50" s="3"/>
      <c r="S50" s="3"/>
      <c r="T50" s="3"/>
      <c r="U50" s="3"/>
      <c r="V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customFormat="false" ht="1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customFormat="false" ht="1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customFormat="false" ht="1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customFormat="false" ht="1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customFormat="false" ht="1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customFormat="false" ht="1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customFormat="false" ht="1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customFormat="false" ht="1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customFormat="false" ht="1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customFormat="false" ht="1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customFormat="false" ht="1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customFormat="false" ht="1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customFormat="false" ht="1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customFormat="false" ht="1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customFormat="false" ht="1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customFormat="false" ht="1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customFormat="false" ht="1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customFormat="false" ht="1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customFormat="false" ht="1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customFormat="false" ht="1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customFormat="false" ht="1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customFormat="false" ht="1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customFormat="false" ht="1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customFormat="false" ht="1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customFormat="false" ht="1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customFormat="false" ht="1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customFormat="false" ht="1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customFormat="false" ht="1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customFormat="false" ht="1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customFormat="false" ht="1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customFormat="false" ht="1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customFormat="false" ht="1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customFormat="false" ht="1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customFormat="false" ht="1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customFormat="false" ht="1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customFormat="false" ht="1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customFormat="false" ht="1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customFormat="false" ht="1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customFormat="false" ht="1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customFormat="false" ht="1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customFormat="false" ht="1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customFormat="false" ht="1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customFormat="false" ht="1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customFormat="false" ht="1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customFormat="false" ht="1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customFormat="false" ht="1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customFormat="false" ht="1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customFormat="false" ht="1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customFormat="false" ht="1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customFormat="false" ht="1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customFormat="false" ht="1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customFormat="false" ht="1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customFormat="false" ht="1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customFormat="false" ht="1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customFormat="false" ht="1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customFormat="false" ht="1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customFormat="false" ht="1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customFormat="false" ht="1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customFormat="false" ht="1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customFormat="false" ht="1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customFormat="false" ht="1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customFormat="false" ht="1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customFormat="false" ht="1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customFormat="false" ht="1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customFormat="false" ht="1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customFormat="false" ht="1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customFormat="false" ht="1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customFormat="false" ht="1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customFormat="false" ht="1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customFormat="false" ht="1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customFormat="false" ht="1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customFormat="false" ht="1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customFormat="false" ht="1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customFormat="false" ht="1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customFormat="false" ht="1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customFormat="false" ht="1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customFormat="false" ht="1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customFormat="false" ht="1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customFormat="false" ht="1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customFormat="false" ht="1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customFormat="false" ht="1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customFormat="false" ht="1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customFormat="false" ht="1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customFormat="false" ht="1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customFormat="false" ht="1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customFormat="false" ht="1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customFormat="false" ht="1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customFormat="false" ht="1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customFormat="false" ht="1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customFormat="false" ht="1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customFormat="false" ht="1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customFormat="false" ht="1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</sheetData>
  <conditionalFormatting sqref="L2:L50">
    <cfRule type="expression" priority="2" aboveAverage="0" equalAverage="0" bottom="0" percent="0" rank="0" text="" dxfId="8">
      <formula>L2="A"</formula>
    </cfRule>
    <cfRule type="expression" priority="3" aboveAverage="0" equalAverage="0" bottom="0" percent="0" rank="0" text="" dxfId="9">
      <formula>L2="B"</formula>
    </cfRule>
    <cfRule type="expression" priority="4" aboveAverage="0" equalAverage="0" bottom="0" percent="0" rank="0" text="" dxfId="10">
      <formula>L2="C"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6"/>
    <col collapsed="false" customWidth="true" hidden="false" outlineLevel="0" max="3" min="3" style="1" width="31"/>
    <col collapsed="false" customWidth="true" hidden="false" outlineLevel="0" max="4" min="4" style="1" width="34"/>
    <col collapsed="false" customWidth="true" hidden="false" outlineLevel="0" max="5" min="5" style="1" width="24"/>
    <col collapsed="false" customWidth="true" hidden="false" outlineLevel="0" max="6" min="6" style="1" width="27"/>
    <col collapsed="false" customWidth="true" hidden="false" outlineLevel="0" max="8" min="7" style="1" width="31"/>
    <col collapsed="false" customWidth="true" hidden="false" outlineLevel="0" max="9" min="9" style="1" width="19"/>
    <col collapsed="false" customWidth="true" hidden="false" outlineLevel="0" max="11" min="10" style="1" width="42"/>
    <col collapsed="false" customWidth="true" hidden="false" outlineLevel="0" max="12" min="12" style="1" width="8"/>
    <col collapsed="false" customWidth="true" hidden="false" outlineLevel="0" max="13" min="13" style="1" width="46"/>
    <col collapsed="false" customWidth="true" hidden="false" outlineLevel="0" max="14" min="14" style="1" width="48"/>
    <col collapsed="false" customWidth="true" hidden="false" outlineLevel="0" max="15" min="15" style="1" width="27"/>
    <col collapsed="false" customWidth="true" hidden="false" outlineLevel="0" max="16" min="16" style="1" width="17"/>
    <col collapsed="false" customWidth="true" hidden="false" outlineLevel="0" max="17" min="17" style="1" width="36"/>
  </cols>
  <sheetData>
    <row r="1" customFormat="false" ht="33.75" hidden="false" customHeight="true" outlineLevel="0" collapsed="false">
      <c r="A1" s="7" t="s">
        <v>24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  <c r="H1" s="7" t="s">
        <v>31</v>
      </c>
      <c r="I1" s="7" t="s">
        <v>32</v>
      </c>
      <c r="J1" s="7" t="s">
        <v>33</v>
      </c>
      <c r="K1" s="7" t="s">
        <v>34</v>
      </c>
      <c r="L1" s="7" t="s">
        <v>35</v>
      </c>
      <c r="M1" s="7" t="s">
        <v>37</v>
      </c>
      <c r="N1" s="7" t="s">
        <v>38</v>
      </c>
      <c r="O1" s="7" t="s">
        <v>39</v>
      </c>
      <c r="P1" s="7" t="s">
        <v>41</v>
      </c>
      <c r="Q1" s="7" t="s">
        <v>43</v>
      </c>
      <c r="R1" s="3"/>
      <c r="S1" s="3"/>
      <c r="T1" s="3"/>
      <c r="U1" s="3"/>
      <c r="V1" s="3"/>
    </row>
    <row r="2" customFormat="false" ht="34.5" hidden="false" customHeight="true" outlineLevel="0" collapsed="false">
      <c r="A2" s="8" t="s">
        <v>44</v>
      </c>
      <c r="B2" s="8" t="s">
        <v>45</v>
      </c>
      <c r="C2" s="9" t="s">
        <v>46</v>
      </c>
      <c r="D2" s="9" t="s">
        <v>47</v>
      </c>
      <c r="E2" s="9" t="s">
        <v>48</v>
      </c>
      <c r="F2" s="9" t="s">
        <v>49</v>
      </c>
      <c r="G2" s="9" t="s">
        <v>50</v>
      </c>
      <c r="H2" s="9"/>
      <c r="I2" s="9" t="s">
        <v>51</v>
      </c>
      <c r="J2" s="9" t="s">
        <v>52</v>
      </c>
      <c r="K2" s="9" t="s">
        <v>52</v>
      </c>
      <c r="L2" s="8" t="s">
        <v>53</v>
      </c>
      <c r="M2" s="9" t="s">
        <v>55</v>
      </c>
      <c r="N2" s="9" t="s">
        <v>56</v>
      </c>
      <c r="O2" s="9" t="s">
        <v>10</v>
      </c>
      <c r="P2" s="8" t="s">
        <v>1279</v>
      </c>
      <c r="Q2" s="9"/>
      <c r="R2" s="3"/>
      <c r="S2" s="3"/>
      <c r="T2" s="3"/>
      <c r="U2" s="3"/>
      <c r="V2" s="3"/>
    </row>
    <row r="3" customFormat="false" ht="34.5" hidden="false" customHeight="true" outlineLevel="0" collapsed="false">
      <c r="A3" s="8" t="s">
        <v>236</v>
      </c>
      <c r="B3" s="8" t="s">
        <v>237</v>
      </c>
      <c r="C3" s="9" t="s">
        <v>238</v>
      </c>
      <c r="D3" s="9" t="s">
        <v>239</v>
      </c>
      <c r="E3" s="9" t="s">
        <v>240</v>
      </c>
      <c r="F3" s="9" t="s">
        <v>241</v>
      </c>
      <c r="G3" s="9" t="s">
        <v>242</v>
      </c>
      <c r="H3" s="9"/>
      <c r="I3" s="9" t="s">
        <v>243</v>
      </c>
      <c r="J3" s="9" t="s">
        <v>244</v>
      </c>
      <c r="K3" s="9" t="s">
        <v>244</v>
      </c>
      <c r="L3" s="8" t="s">
        <v>53</v>
      </c>
      <c r="M3" s="9" t="s">
        <v>246</v>
      </c>
      <c r="N3" s="9" t="s">
        <v>247</v>
      </c>
      <c r="O3" s="9" t="s">
        <v>10</v>
      </c>
      <c r="P3" s="8" t="s">
        <v>1279</v>
      </c>
      <c r="Q3" s="9"/>
      <c r="R3" s="3"/>
      <c r="S3" s="3"/>
      <c r="T3" s="3"/>
      <c r="U3" s="3"/>
      <c r="V3" s="3"/>
    </row>
    <row r="4" customFormat="false" ht="45.75" hidden="false" customHeight="true" outlineLevel="0" collapsed="false">
      <c r="A4" s="8" t="s">
        <v>267</v>
      </c>
      <c r="B4" s="8" t="s">
        <v>268</v>
      </c>
      <c r="C4" s="9" t="s">
        <v>288</v>
      </c>
      <c r="D4" s="9" t="s">
        <v>289</v>
      </c>
      <c r="E4" s="9" t="s">
        <v>290</v>
      </c>
      <c r="F4" s="9" t="s">
        <v>291</v>
      </c>
      <c r="G4" s="9" t="s">
        <v>292</v>
      </c>
      <c r="H4" s="9"/>
      <c r="I4" s="9" t="s">
        <v>293</v>
      </c>
      <c r="J4" s="9" t="s">
        <v>294</v>
      </c>
      <c r="K4" s="9" t="s">
        <v>294</v>
      </c>
      <c r="L4" s="8" t="s">
        <v>53</v>
      </c>
      <c r="M4" s="9" t="s">
        <v>296</v>
      </c>
      <c r="N4" s="9" t="s">
        <v>297</v>
      </c>
      <c r="O4" s="9" t="s">
        <v>10</v>
      </c>
      <c r="P4" s="8" t="s">
        <v>1279</v>
      </c>
      <c r="Q4" s="9"/>
      <c r="R4" s="3"/>
      <c r="S4" s="3"/>
      <c r="T4" s="3"/>
      <c r="U4" s="3"/>
      <c r="V4" s="3"/>
    </row>
    <row r="5" customFormat="false" ht="34.5" hidden="false" customHeight="true" outlineLevel="0" collapsed="false">
      <c r="A5" s="8" t="s">
        <v>317</v>
      </c>
      <c r="B5" s="8" t="s">
        <v>338</v>
      </c>
      <c r="C5" s="9" t="s">
        <v>339</v>
      </c>
      <c r="D5" s="9" t="s">
        <v>340</v>
      </c>
      <c r="E5" s="9" t="s">
        <v>341</v>
      </c>
      <c r="F5" s="9" t="s">
        <v>342</v>
      </c>
      <c r="G5" s="9" t="s">
        <v>343</v>
      </c>
      <c r="H5" s="9"/>
      <c r="I5" s="9"/>
      <c r="J5" s="9" t="s">
        <v>344</v>
      </c>
      <c r="K5" s="9" t="s">
        <v>344</v>
      </c>
      <c r="L5" s="8" t="s">
        <v>53</v>
      </c>
      <c r="M5" s="9" t="s">
        <v>346</v>
      </c>
      <c r="N5" s="9" t="s">
        <v>143</v>
      </c>
      <c r="O5" s="9" t="s">
        <v>10</v>
      </c>
      <c r="P5" s="8" t="s">
        <v>1279</v>
      </c>
      <c r="Q5" s="9" t="s">
        <v>144</v>
      </c>
      <c r="R5" s="3"/>
      <c r="S5" s="3"/>
      <c r="T5" s="3"/>
      <c r="U5" s="3"/>
      <c r="V5" s="3"/>
    </row>
    <row r="6" customFormat="false" ht="45.75" hidden="false" customHeight="true" outlineLevel="0" collapsed="false">
      <c r="A6" s="8" t="s">
        <v>375</v>
      </c>
      <c r="B6" s="8" t="s">
        <v>376</v>
      </c>
      <c r="C6" s="9" t="s">
        <v>399</v>
      </c>
      <c r="D6" s="9" t="s">
        <v>400</v>
      </c>
      <c r="E6" s="9" t="s">
        <v>401</v>
      </c>
      <c r="F6" s="9" t="s">
        <v>402</v>
      </c>
      <c r="G6" s="9" t="s">
        <v>403</v>
      </c>
      <c r="H6" s="9"/>
      <c r="I6" s="9"/>
      <c r="J6" s="9" t="s">
        <v>404</v>
      </c>
      <c r="K6" s="9" t="s">
        <v>404</v>
      </c>
      <c r="L6" s="8" t="s">
        <v>53</v>
      </c>
      <c r="M6" s="9" t="s">
        <v>406</v>
      </c>
      <c r="N6" s="9" t="s">
        <v>407</v>
      </c>
      <c r="O6" s="9" t="s">
        <v>8</v>
      </c>
      <c r="P6" s="8" t="s">
        <v>1279</v>
      </c>
      <c r="Q6" s="9"/>
      <c r="R6" s="3"/>
      <c r="S6" s="3"/>
      <c r="T6" s="3"/>
      <c r="U6" s="3"/>
      <c r="V6" s="3"/>
    </row>
    <row r="7" customFormat="false" ht="34.5" hidden="false" customHeight="true" outlineLevel="0" collapsed="false">
      <c r="A7" s="8" t="s">
        <v>438</v>
      </c>
      <c r="B7" s="8" t="s">
        <v>439</v>
      </c>
      <c r="C7" s="9" t="s">
        <v>440</v>
      </c>
      <c r="D7" s="9" t="s">
        <v>441</v>
      </c>
      <c r="E7" s="9" t="s">
        <v>442</v>
      </c>
      <c r="F7" s="9" t="s">
        <v>443</v>
      </c>
      <c r="G7" s="9" t="s">
        <v>444</v>
      </c>
      <c r="H7" s="9" t="s">
        <v>445</v>
      </c>
      <c r="I7" s="9" t="s">
        <v>446</v>
      </c>
      <c r="J7" s="9" t="s">
        <v>447</v>
      </c>
      <c r="K7" s="9" t="s">
        <v>447</v>
      </c>
      <c r="L7" s="8" t="s">
        <v>53</v>
      </c>
      <c r="M7" s="9" t="s">
        <v>448</v>
      </c>
      <c r="N7" s="9" t="s">
        <v>143</v>
      </c>
      <c r="O7" s="9" t="s">
        <v>8</v>
      </c>
      <c r="P7" s="8" t="s">
        <v>1279</v>
      </c>
      <c r="Q7" s="9" t="s">
        <v>144</v>
      </c>
      <c r="R7" s="3"/>
      <c r="S7" s="3"/>
      <c r="T7" s="3"/>
      <c r="U7" s="3"/>
      <c r="V7" s="3"/>
    </row>
    <row r="8" customFormat="false" ht="34.5" hidden="false" customHeight="true" outlineLevel="0" collapsed="false">
      <c r="A8" s="8" t="s">
        <v>463</v>
      </c>
      <c r="B8" s="8" t="s">
        <v>464</v>
      </c>
      <c r="C8" s="9" t="s">
        <v>509</v>
      </c>
      <c r="D8" s="9" t="s">
        <v>510</v>
      </c>
      <c r="E8" s="9" t="s">
        <v>511</v>
      </c>
      <c r="F8" s="9" t="s">
        <v>512</v>
      </c>
      <c r="G8" s="9"/>
      <c r="H8" s="9"/>
      <c r="I8" s="9" t="s">
        <v>513</v>
      </c>
      <c r="J8" s="9" t="s">
        <v>514</v>
      </c>
      <c r="K8" s="9" t="s">
        <v>514</v>
      </c>
      <c r="L8" s="8" t="s">
        <v>53</v>
      </c>
      <c r="M8" s="9" t="s">
        <v>516</v>
      </c>
      <c r="N8" s="9" t="s">
        <v>517</v>
      </c>
      <c r="O8" s="9" t="s">
        <v>12</v>
      </c>
      <c r="P8" s="8" t="s">
        <v>1279</v>
      </c>
      <c r="Q8" s="9"/>
      <c r="R8" s="3"/>
      <c r="S8" s="3"/>
      <c r="T8" s="3"/>
      <c r="U8" s="3"/>
      <c r="V8" s="3"/>
    </row>
    <row r="9" customFormat="false" ht="23.25" hidden="false" customHeight="true" outlineLevel="0" collapsed="false">
      <c r="A9" s="8" t="s">
        <v>555</v>
      </c>
      <c r="B9" s="8" t="s">
        <v>556</v>
      </c>
      <c r="C9" s="9" t="s">
        <v>557</v>
      </c>
      <c r="D9" s="9" t="s">
        <v>558</v>
      </c>
      <c r="E9" s="9" t="s">
        <v>559</v>
      </c>
      <c r="F9" s="9" t="s">
        <v>116</v>
      </c>
      <c r="G9" s="9" t="s">
        <v>560</v>
      </c>
      <c r="H9" s="9"/>
      <c r="I9" s="9" t="s">
        <v>561</v>
      </c>
      <c r="J9" s="9" t="s">
        <v>562</v>
      </c>
      <c r="K9" s="9" t="s">
        <v>562</v>
      </c>
      <c r="L9" s="8" t="s">
        <v>53</v>
      </c>
      <c r="M9" s="9" t="s">
        <v>564</v>
      </c>
      <c r="N9" s="9" t="s">
        <v>565</v>
      </c>
      <c r="O9" s="9" t="s">
        <v>10</v>
      </c>
      <c r="P9" s="8" t="s">
        <v>1279</v>
      </c>
      <c r="Q9" s="9"/>
      <c r="R9" s="3"/>
      <c r="S9" s="3"/>
      <c r="T9" s="3"/>
      <c r="U9" s="3"/>
      <c r="V9" s="3"/>
    </row>
    <row r="10" customFormat="false" ht="34.5" hidden="false" customHeight="true" outlineLevel="0" collapsed="false">
      <c r="A10" s="8" t="s">
        <v>618</v>
      </c>
      <c r="B10" s="8" t="s">
        <v>628</v>
      </c>
      <c r="C10" s="9" t="s">
        <v>629</v>
      </c>
      <c r="D10" s="9" t="s">
        <v>630</v>
      </c>
      <c r="E10" s="9" t="s">
        <v>631</v>
      </c>
      <c r="F10" s="9" t="s">
        <v>631</v>
      </c>
      <c r="G10" s="9" t="s">
        <v>632</v>
      </c>
      <c r="H10" s="9" t="s">
        <v>633</v>
      </c>
      <c r="I10" s="9"/>
      <c r="J10" s="9" t="s">
        <v>634</v>
      </c>
      <c r="K10" s="9" t="s">
        <v>634</v>
      </c>
      <c r="L10" s="8" t="s">
        <v>53</v>
      </c>
      <c r="M10" s="9" t="s">
        <v>635</v>
      </c>
      <c r="N10" s="9" t="s">
        <v>143</v>
      </c>
      <c r="O10" s="9" t="s">
        <v>10</v>
      </c>
      <c r="P10" s="8" t="s">
        <v>1279</v>
      </c>
      <c r="Q10" s="9" t="s">
        <v>144</v>
      </c>
      <c r="R10" s="3"/>
      <c r="S10" s="3"/>
      <c r="T10" s="3"/>
      <c r="U10" s="3"/>
      <c r="V10" s="3"/>
    </row>
    <row r="11" customFormat="false" ht="23.25" hidden="false" customHeight="true" outlineLevel="0" collapsed="false">
      <c r="A11" s="8" t="s">
        <v>641</v>
      </c>
      <c r="B11" s="8" t="s">
        <v>660</v>
      </c>
      <c r="C11" s="9" t="s">
        <v>661</v>
      </c>
      <c r="D11" s="9" t="s">
        <v>662</v>
      </c>
      <c r="E11" s="9" t="s">
        <v>663</v>
      </c>
      <c r="F11" s="9" t="s">
        <v>116</v>
      </c>
      <c r="G11" s="9" t="s">
        <v>664</v>
      </c>
      <c r="H11" s="9"/>
      <c r="I11" s="9" t="s">
        <v>665</v>
      </c>
      <c r="J11" s="9" t="s">
        <v>666</v>
      </c>
      <c r="K11" s="9" t="s">
        <v>666</v>
      </c>
      <c r="L11" s="8" t="s">
        <v>53</v>
      </c>
      <c r="M11" s="9" t="s">
        <v>668</v>
      </c>
      <c r="N11" s="9" t="s">
        <v>669</v>
      </c>
      <c r="O11" s="9" t="s">
        <v>10</v>
      </c>
      <c r="P11" s="8" t="s">
        <v>1279</v>
      </c>
      <c r="Q11" s="9"/>
      <c r="R11" s="3"/>
      <c r="S11" s="3"/>
      <c r="T11" s="3"/>
      <c r="U11" s="3"/>
      <c r="V11" s="3"/>
    </row>
    <row r="12" customFormat="false" ht="45.75" hidden="false" customHeight="true" outlineLevel="0" collapsed="false">
      <c r="A12" s="8" t="s">
        <v>725</v>
      </c>
      <c r="B12" s="8" t="s">
        <v>726</v>
      </c>
      <c r="C12" s="9" t="s">
        <v>727</v>
      </c>
      <c r="D12" s="9" t="s">
        <v>728</v>
      </c>
      <c r="E12" s="9" t="s">
        <v>729</v>
      </c>
      <c r="F12" s="9" t="s">
        <v>730</v>
      </c>
      <c r="G12" s="9" t="s">
        <v>731</v>
      </c>
      <c r="H12" s="9" t="s">
        <v>732</v>
      </c>
      <c r="I12" s="9" t="s">
        <v>733</v>
      </c>
      <c r="J12" s="9" t="s">
        <v>734</v>
      </c>
      <c r="K12" s="9" t="s">
        <v>734</v>
      </c>
      <c r="L12" s="8" t="s">
        <v>53</v>
      </c>
      <c r="M12" s="9" t="s">
        <v>736</v>
      </c>
      <c r="N12" s="9" t="s">
        <v>737</v>
      </c>
      <c r="O12" s="9" t="s">
        <v>10</v>
      </c>
      <c r="P12" s="8" t="s">
        <v>1279</v>
      </c>
      <c r="Q12" s="9"/>
      <c r="R12" s="3"/>
      <c r="S12" s="3"/>
      <c r="T12" s="3"/>
      <c r="U12" s="3"/>
      <c r="V12" s="3"/>
    </row>
    <row r="13" customFormat="false" ht="34.5" hidden="false" customHeight="true" outlineLevel="0" collapsed="false">
      <c r="A13" s="8" t="s">
        <v>777</v>
      </c>
      <c r="B13" s="8" t="s">
        <v>778</v>
      </c>
      <c r="C13" s="9" t="s">
        <v>779</v>
      </c>
      <c r="D13" s="9" t="s">
        <v>780</v>
      </c>
      <c r="E13" s="9" t="s">
        <v>781</v>
      </c>
      <c r="F13" s="9" t="s">
        <v>782</v>
      </c>
      <c r="G13" s="9" t="s">
        <v>783</v>
      </c>
      <c r="H13" s="9"/>
      <c r="I13" s="9"/>
      <c r="J13" s="9" t="s">
        <v>784</v>
      </c>
      <c r="K13" s="9" t="s">
        <v>784</v>
      </c>
      <c r="L13" s="8" t="s">
        <v>383</v>
      </c>
      <c r="M13" s="9" t="s">
        <v>786</v>
      </c>
      <c r="N13" s="9" t="s">
        <v>787</v>
      </c>
      <c r="O13" s="9" t="s">
        <v>10</v>
      </c>
      <c r="P13" s="8" t="s">
        <v>1279</v>
      </c>
      <c r="Q13" s="9"/>
      <c r="R13" s="3"/>
      <c r="S13" s="3"/>
      <c r="T13" s="3"/>
      <c r="U13" s="3"/>
      <c r="V13" s="3"/>
    </row>
    <row r="14" customFormat="false" ht="34.5" hidden="false" customHeight="true" outlineLevel="0" collapsed="false">
      <c r="A14" s="8" t="s">
        <v>892</v>
      </c>
      <c r="B14" s="8" t="s">
        <v>905</v>
      </c>
      <c r="C14" s="9" t="s">
        <v>906</v>
      </c>
      <c r="D14" s="9" t="s">
        <v>907</v>
      </c>
      <c r="E14" s="9" t="s">
        <v>908</v>
      </c>
      <c r="F14" s="9" t="s">
        <v>116</v>
      </c>
      <c r="G14" s="9" t="s">
        <v>909</v>
      </c>
      <c r="H14" s="9"/>
      <c r="I14" s="9"/>
      <c r="J14" s="9" t="s">
        <v>910</v>
      </c>
      <c r="K14" s="9" t="s">
        <v>910</v>
      </c>
      <c r="L14" s="8" t="s">
        <v>53</v>
      </c>
      <c r="M14" s="9" t="s">
        <v>912</v>
      </c>
      <c r="N14" s="9" t="s">
        <v>913</v>
      </c>
      <c r="O14" s="9" t="s">
        <v>10</v>
      </c>
      <c r="P14" s="8" t="s">
        <v>1279</v>
      </c>
      <c r="Q14" s="9"/>
      <c r="R14" s="3"/>
      <c r="S14" s="3"/>
      <c r="T14" s="3"/>
      <c r="U14" s="3"/>
      <c r="V14" s="3"/>
    </row>
    <row r="15" customFormat="false" ht="34.5" hidden="false" customHeight="true" outlineLevel="0" collapsed="false">
      <c r="A15" s="8" t="s">
        <v>960</v>
      </c>
      <c r="B15" s="8" t="s">
        <v>987</v>
      </c>
      <c r="C15" s="9" t="s">
        <v>988</v>
      </c>
      <c r="D15" s="9" t="s">
        <v>989</v>
      </c>
      <c r="E15" s="9" t="s">
        <v>990</v>
      </c>
      <c r="F15" s="9" t="s">
        <v>991</v>
      </c>
      <c r="G15" s="9" t="s">
        <v>992</v>
      </c>
      <c r="H15" s="9"/>
      <c r="I15" s="9" t="s">
        <v>993</v>
      </c>
      <c r="J15" s="9" t="s">
        <v>994</v>
      </c>
      <c r="K15" s="9" t="s">
        <v>994</v>
      </c>
      <c r="L15" s="8" t="s">
        <v>53</v>
      </c>
      <c r="M15" s="9" t="s">
        <v>995</v>
      </c>
      <c r="N15" s="9" t="s">
        <v>143</v>
      </c>
      <c r="O15" s="9" t="s">
        <v>8</v>
      </c>
      <c r="P15" s="8" t="s">
        <v>1279</v>
      </c>
      <c r="Q15" s="9" t="s">
        <v>144</v>
      </c>
      <c r="R15" s="3"/>
      <c r="S15" s="3"/>
      <c r="T15" s="3"/>
      <c r="U15" s="3"/>
      <c r="V15" s="3"/>
    </row>
    <row r="16" customFormat="false" ht="34.5" hidden="false" customHeight="true" outlineLevel="0" collapsed="false">
      <c r="A16" s="8" t="s">
        <v>1056</v>
      </c>
      <c r="B16" s="8" t="s">
        <v>1057</v>
      </c>
      <c r="C16" s="9" t="s">
        <v>1090</v>
      </c>
      <c r="D16" s="9" t="s">
        <v>1091</v>
      </c>
      <c r="E16" s="9" t="s">
        <v>1092</v>
      </c>
      <c r="F16" s="9" t="s">
        <v>1093</v>
      </c>
      <c r="G16" s="9" t="s">
        <v>1094</v>
      </c>
      <c r="H16" s="9"/>
      <c r="I16" s="9" t="s">
        <v>1095</v>
      </c>
      <c r="J16" s="9" t="s">
        <v>1096</v>
      </c>
      <c r="K16" s="9" t="s">
        <v>1096</v>
      </c>
      <c r="L16" s="8" t="s">
        <v>53</v>
      </c>
      <c r="M16" s="9" t="s">
        <v>1097</v>
      </c>
      <c r="N16" s="9" t="s">
        <v>143</v>
      </c>
      <c r="O16" s="9" t="s">
        <v>10</v>
      </c>
      <c r="P16" s="8" t="s">
        <v>1279</v>
      </c>
      <c r="Q16" s="9" t="s">
        <v>144</v>
      </c>
      <c r="R16" s="3"/>
      <c r="S16" s="3"/>
      <c r="T16" s="3"/>
      <c r="U16" s="3"/>
      <c r="V16" s="3"/>
    </row>
    <row r="17" customFormat="false" ht="34.5" hidden="false" customHeight="true" outlineLevel="0" collapsed="false">
      <c r="A17" s="8" t="s">
        <v>1141</v>
      </c>
      <c r="B17" s="8" t="s">
        <v>1163</v>
      </c>
      <c r="C17" s="9" t="s">
        <v>1164</v>
      </c>
      <c r="D17" s="9" t="s">
        <v>1165</v>
      </c>
      <c r="E17" s="9" t="s">
        <v>1166</v>
      </c>
      <c r="F17" s="9" t="s">
        <v>1167</v>
      </c>
      <c r="G17" s="9" t="s">
        <v>1168</v>
      </c>
      <c r="H17" s="9"/>
      <c r="I17" s="9" t="s">
        <v>1169</v>
      </c>
      <c r="J17" s="9" t="s">
        <v>1170</v>
      </c>
      <c r="K17" s="9" t="s">
        <v>1170</v>
      </c>
      <c r="L17" s="8" t="s">
        <v>53</v>
      </c>
      <c r="M17" s="9" t="s">
        <v>1172</v>
      </c>
      <c r="N17" s="9" t="s">
        <v>1173</v>
      </c>
      <c r="O17" s="9" t="s">
        <v>8</v>
      </c>
      <c r="P17" s="8" t="s">
        <v>1279</v>
      </c>
      <c r="Q17" s="9"/>
      <c r="R17" s="3"/>
      <c r="S17" s="3"/>
      <c r="T17" s="3"/>
      <c r="U17" s="3"/>
      <c r="V17" s="3"/>
    </row>
    <row r="18" customFormat="false" ht="45.75" hidden="false" customHeight="true" outlineLevel="0" collapsed="false">
      <c r="A18" s="8" t="s">
        <v>1199</v>
      </c>
      <c r="B18" s="8" t="s">
        <v>1200</v>
      </c>
      <c r="C18" s="9" t="s">
        <v>1201</v>
      </c>
      <c r="D18" s="9" t="s">
        <v>1202</v>
      </c>
      <c r="E18" s="9" t="s">
        <v>1203</v>
      </c>
      <c r="F18" s="9" t="s">
        <v>49</v>
      </c>
      <c r="G18" s="9" t="s">
        <v>1204</v>
      </c>
      <c r="H18" s="9" t="s">
        <v>1205</v>
      </c>
      <c r="I18" s="9" t="s">
        <v>1206</v>
      </c>
      <c r="J18" s="9" t="s">
        <v>1207</v>
      </c>
      <c r="K18" s="9" t="s">
        <v>1207</v>
      </c>
      <c r="L18" s="8" t="s">
        <v>53</v>
      </c>
      <c r="M18" s="9" t="s">
        <v>1208</v>
      </c>
      <c r="N18" s="9" t="s">
        <v>143</v>
      </c>
      <c r="O18" s="9" t="s">
        <v>10</v>
      </c>
      <c r="P18" s="8" t="s">
        <v>1279</v>
      </c>
      <c r="Q18" s="9" t="s">
        <v>144</v>
      </c>
      <c r="R18" s="3"/>
      <c r="S18" s="3"/>
      <c r="T18" s="3"/>
      <c r="U18" s="3"/>
      <c r="V18" s="3"/>
    </row>
    <row r="19" customFormat="false" ht="34.5" hidden="false" customHeight="true" outlineLevel="0" collapsed="false">
      <c r="A19" s="8" t="s">
        <v>1238</v>
      </c>
      <c r="B19" s="8" t="s">
        <v>1239</v>
      </c>
      <c r="C19" s="9" t="s">
        <v>1240</v>
      </c>
      <c r="D19" s="9" t="s">
        <v>1241</v>
      </c>
      <c r="E19" s="9" t="s">
        <v>1242</v>
      </c>
      <c r="F19" s="9" t="s">
        <v>1243</v>
      </c>
      <c r="G19" s="9" t="s">
        <v>1244</v>
      </c>
      <c r="H19" s="9"/>
      <c r="I19" s="9"/>
      <c r="J19" s="9" t="s">
        <v>1245</v>
      </c>
      <c r="K19" s="9" t="s">
        <v>1245</v>
      </c>
      <c r="L19" s="8" t="s">
        <v>53</v>
      </c>
      <c r="M19" s="9" t="s">
        <v>1247</v>
      </c>
      <c r="N19" s="9" t="s">
        <v>1248</v>
      </c>
      <c r="O19" s="9" t="s">
        <v>10</v>
      </c>
      <c r="P19" s="8" t="s">
        <v>1279</v>
      </c>
      <c r="Q19" s="9"/>
      <c r="R19" s="3"/>
      <c r="S19" s="3"/>
      <c r="T19" s="3"/>
      <c r="U19" s="3"/>
      <c r="V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customFormat="false" ht="1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customFormat="false" ht="1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customFormat="false" ht="1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customFormat="false" ht="1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customFormat="false" ht="1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customFormat="false" ht="1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customFormat="false" ht="1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customFormat="false" ht="1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customFormat="false" ht="1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customFormat="false" ht="1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customFormat="false" ht="1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customFormat="false" ht="1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customFormat="false" ht="1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customFormat="false" ht="1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customFormat="false" ht="1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customFormat="false" ht="1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customFormat="false" ht="1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customFormat="false" ht="1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customFormat="false" ht="1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customFormat="false" ht="1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customFormat="false" ht="1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customFormat="false" ht="1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customFormat="false" ht="1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customFormat="false" ht="1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customFormat="false" ht="1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customFormat="false" ht="1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customFormat="false" ht="1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customFormat="false" ht="1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customFormat="false" ht="1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customFormat="false" ht="1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customFormat="false" ht="1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customFormat="false" ht="1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customFormat="false" ht="1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customFormat="false" ht="1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customFormat="false" ht="1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customFormat="false" ht="1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customFormat="false" ht="1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customFormat="false" ht="1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customFormat="false" ht="1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customFormat="false" ht="1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customFormat="false" ht="1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customFormat="false" ht="1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customFormat="false" ht="1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customFormat="false" ht="1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customFormat="false" ht="1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customFormat="false" ht="1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customFormat="false" ht="1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customFormat="false" ht="1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customFormat="false" ht="1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customFormat="false" ht="1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customFormat="false" ht="1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customFormat="false" ht="1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customFormat="false" ht="1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customFormat="false" ht="1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customFormat="false" ht="1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customFormat="false" ht="1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customFormat="false" ht="1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customFormat="false" ht="1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customFormat="false" ht="1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customFormat="false" ht="1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customFormat="false" ht="1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customFormat="false" ht="1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customFormat="false" ht="1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customFormat="false" ht="1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customFormat="false" ht="1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customFormat="false" ht="1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customFormat="false" ht="1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customFormat="false" ht="1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customFormat="false" ht="1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customFormat="false" ht="1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customFormat="false" ht="1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customFormat="false" ht="1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customFormat="false" ht="1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customFormat="false" ht="1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customFormat="false" ht="1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customFormat="false" ht="1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customFormat="false" ht="1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customFormat="false" ht="1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customFormat="false" ht="1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customFormat="false" ht="1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customFormat="false" ht="1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customFormat="false" ht="1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customFormat="false" ht="1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customFormat="false" ht="1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customFormat="false" ht="1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customFormat="false" ht="1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customFormat="false" ht="1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customFormat="false" ht="1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customFormat="false" ht="1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customFormat="false" ht="1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customFormat="false" ht="1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customFormat="false" ht="1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</sheetData>
  <conditionalFormatting sqref="L2:L19">
    <cfRule type="expression" priority="2" aboveAverage="0" equalAverage="0" bottom="0" percent="0" rank="0" text="" dxfId="8">
      <formula>L2="A"</formula>
    </cfRule>
    <cfRule type="expression" priority="3" aboveAverage="0" equalAverage="0" bottom="0" percent="0" rank="0" text="" dxfId="9">
      <formula>L2="B"</formula>
    </cfRule>
    <cfRule type="expression" priority="4" aboveAverage="0" equalAverage="0" bottom="0" percent="0" rank="0" text="" dxfId="10">
      <formula>L2="C"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6"/>
    <col collapsed="false" customWidth="true" hidden="false" outlineLevel="0" max="3" min="3" style="1" width="31"/>
    <col collapsed="false" customWidth="true" hidden="false" outlineLevel="0" max="4" min="4" style="1" width="34"/>
    <col collapsed="false" customWidth="true" hidden="false" outlineLevel="0" max="5" min="5" style="1" width="24"/>
    <col collapsed="false" customWidth="true" hidden="false" outlineLevel="0" max="6" min="6" style="1" width="27"/>
    <col collapsed="false" customWidth="true" hidden="false" outlineLevel="0" max="8" min="7" style="1" width="31"/>
    <col collapsed="false" customWidth="true" hidden="false" outlineLevel="0" max="9" min="9" style="1" width="19"/>
    <col collapsed="false" customWidth="true" hidden="false" outlineLevel="0" max="11" min="10" style="1" width="42"/>
    <col collapsed="false" customWidth="true" hidden="false" outlineLevel="0" max="12" min="12" style="1" width="8"/>
    <col collapsed="false" customWidth="true" hidden="false" outlineLevel="0" max="13" min="13" style="1" width="46"/>
    <col collapsed="false" customWidth="true" hidden="false" outlineLevel="0" max="14" min="14" style="1" width="48"/>
    <col collapsed="false" customWidth="true" hidden="false" outlineLevel="0" max="15" min="15" style="1" width="27"/>
    <col collapsed="false" customWidth="true" hidden="false" outlineLevel="0" max="16" min="16" style="1" width="17"/>
    <col collapsed="false" customWidth="true" hidden="false" outlineLevel="0" max="17" min="17" style="1" width="36"/>
  </cols>
  <sheetData>
    <row r="1" customFormat="false" ht="33.75" hidden="false" customHeight="true" outlineLevel="0" collapsed="false">
      <c r="A1" s="7" t="s">
        <v>24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  <c r="H1" s="7" t="s">
        <v>31</v>
      </c>
      <c r="I1" s="7" t="s">
        <v>32</v>
      </c>
      <c r="J1" s="7" t="s">
        <v>33</v>
      </c>
      <c r="K1" s="7" t="s">
        <v>34</v>
      </c>
      <c r="L1" s="7" t="s">
        <v>35</v>
      </c>
      <c r="M1" s="7" t="s">
        <v>37</v>
      </c>
      <c r="N1" s="7" t="s">
        <v>38</v>
      </c>
      <c r="O1" s="7" t="s">
        <v>39</v>
      </c>
      <c r="P1" s="7" t="s">
        <v>41</v>
      </c>
      <c r="Q1" s="7" t="s">
        <v>43</v>
      </c>
      <c r="R1" s="3"/>
      <c r="S1" s="3"/>
      <c r="T1" s="3"/>
      <c r="U1" s="3"/>
      <c r="V1" s="3"/>
    </row>
    <row r="2" customFormat="false" ht="34.5" hidden="false" customHeight="true" outlineLevel="0" collapsed="false">
      <c r="A2" s="8" t="s">
        <v>100</v>
      </c>
      <c r="B2" s="8" t="s">
        <v>101</v>
      </c>
      <c r="C2" s="9" t="s">
        <v>102</v>
      </c>
      <c r="D2" s="9" t="s">
        <v>103</v>
      </c>
      <c r="E2" s="9" t="s">
        <v>104</v>
      </c>
      <c r="F2" s="9" t="s">
        <v>105</v>
      </c>
      <c r="G2" s="9" t="s">
        <v>106</v>
      </c>
      <c r="H2" s="9" t="s">
        <v>107</v>
      </c>
      <c r="I2" s="9"/>
      <c r="J2" s="9" t="s">
        <v>108</v>
      </c>
      <c r="K2" s="9" t="s">
        <v>108</v>
      </c>
      <c r="L2" s="8" t="s">
        <v>88</v>
      </c>
      <c r="M2" s="9" t="s">
        <v>110</v>
      </c>
      <c r="N2" s="9" t="s">
        <v>111</v>
      </c>
      <c r="O2" s="9" t="s">
        <v>8</v>
      </c>
      <c r="P2" s="8" t="s">
        <v>1279</v>
      </c>
      <c r="Q2" s="9"/>
      <c r="R2" s="3"/>
      <c r="S2" s="3"/>
      <c r="T2" s="3"/>
      <c r="U2" s="3"/>
      <c r="V2" s="3"/>
    </row>
    <row r="3" customFormat="false" ht="34.5" hidden="false" customHeight="true" outlineLevel="0" collapsed="false">
      <c r="A3" s="8" t="s">
        <v>132</v>
      </c>
      <c r="B3" s="8" t="s">
        <v>133</v>
      </c>
      <c r="C3" s="9" t="s">
        <v>134</v>
      </c>
      <c r="D3" s="9" t="s">
        <v>135</v>
      </c>
      <c r="E3" s="9" t="s">
        <v>136</v>
      </c>
      <c r="F3" s="9" t="s">
        <v>137</v>
      </c>
      <c r="G3" s="9" t="s">
        <v>138</v>
      </c>
      <c r="H3" s="9"/>
      <c r="I3" s="9" t="s">
        <v>139</v>
      </c>
      <c r="J3" s="9" t="s">
        <v>140</v>
      </c>
      <c r="K3" s="9" t="s">
        <v>140</v>
      </c>
      <c r="L3" s="8" t="s">
        <v>53</v>
      </c>
      <c r="M3" s="9" t="s">
        <v>142</v>
      </c>
      <c r="N3" s="9" t="s">
        <v>143</v>
      </c>
      <c r="O3" s="9" t="s">
        <v>10</v>
      </c>
      <c r="P3" s="8" t="s">
        <v>1279</v>
      </c>
      <c r="Q3" s="9" t="s">
        <v>144</v>
      </c>
      <c r="R3" s="3"/>
      <c r="S3" s="3"/>
      <c r="T3" s="3"/>
      <c r="U3" s="3"/>
      <c r="V3" s="3"/>
    </row>
    <row r="4" customFormat="false" ht="34.5" hidden="false" customHeight="true" outlineLevel="0" collapsed="false">
      <c r="A4" s="8" t="s">
        <v>267</v>
      </c>
      <c r="B4" s="8" t="s">
        <v>268</v>
      </c>
      <c r="C4" s="9" t="s">
        <v>269</v>
      </c>
      <c r="D4" s="9" t="s">
        <v>270</v>
      </c>
      <c r="E4" s="9" t="s">
        <v>271</v>
      </c>
      <c r="F4" s="9" t="s">
        <v>272</v>
      </c>
      <c r="G4" s="9" t="s">
        <v>273</v>
      </c>
      <c r="H4" s="9" t="s">
        <v>274</v>
      </c>
      <c r="I4" s="9"/>
      <c r="J4" s="9" t="s">
        <v>275</v>
      </c>
      <c r="K4" s="9" t="s">
        <v>275</v>
      </c>
      <c r="L4" s="8" t="s">
        <v>53</v>
      </c>
      <c r="M4" s="9" t="s">
        <v>277</v>
      </c>
      <c r="N4" s="9" t="s">
        <v>278</v>
      </c>
      <c r="O4" s="9" t="s">
        <v>10</v>
      </c>
      <c r="P4" s="8" t="s">
        <v>1279</v>
      </c>
      <c r="Q4" s="9"/>
      <c r="R4" s="3"/>
      <c r="S4" s="3"/>
      <c r="T4" s="3"/>
      <c r="U4" s="3"/>
      <c r="V4" s="3"/>
    </row>
    <row r="5" customFormat="false" ht="34.5" hidden="false" customHeight="true" outlineLevel="0" collapsed="false">
      <c r="A5" s="8" t="s">
        <v>267</v>
      </c>
      <c r="B5" s="8" t="s">
        <v>268</v>
      </c>
      <c r="C5" s="9" t="s">
        <v>279</v>
      </c>
      <c r="D5" s="9" t="s">
        <v>280</v>
      </c>
      <c r="E5" s="9" t="s">
        <v>281</v>
      </c>
      <c r="F5" s="9" t="s">
        <v>282</v>
      </c>
      <c r="G5" s="9" t="s">
        <v>283</v>
      </c>
      <c r="H5" s="9" t="s">
        <v>284</v>
      </c>
      <c r="I5" s="9" t="s">
        <v>285</v>
      </c>
      <c r="J5" s="9" t="s">
        <v>286</v>
      </c>
      <c r="K5" s="9" t="s">
        <v>286</v>
      </c>
      <c r="L5" s="8" t="s">
        <v>53</v>
      </c>
      <c r="M5" s="9" t="s">
        <v>287</v>
      </c>
      <c r="N5" s="9" t="s">
        <v>143</v>
      </c>
      <c r="O5" s="9" t="s">
        <v>8</v>
      </c>
      <c r="P5" s="8" t="s">
        <v>1279</v>
      </c>
      <c r="Q5" s="9" t="s">
        <v>144</v>
      </c>
      <c r="R5" s="3"/>
      <c r="S5" s="3"/>
      <c r="T5" s="3"/>
      <c r="U5" s="3"/>
      <c r="V5" s="3"/>
    </row>
    <row r="6" customFormat="false" ht="34.5" hidden="false" customHeight="true" outlineLevel="0" collapsed="false">
      <c r="A6" s="8" t="s">
        <v>317</v>
      </c>
      <c r="B6" s="8" t="s">
        <v>318</v>
      </c>
      <c r="C6" s="9" t="s">
        <v>319</v>
      </c>
      <c r="D6" s="9" t="s">
        <v>320</v>
      </c>
      <c r="E6" s="9" t="s">
        <v>321</v>
      </c>
      <c r="F6" s="9" t="s">
        <v>322</v>
      </c>
      <c r="G6" s="9" t="s">
        <v>323</v>
      </c>
      <c r="H6" s="9"/>
      <c r="I6" s="9"/>
      <c r="J6" s="9" t="s">
        <v>324</v>
      </c>
      <c r="K6" s="9" t="s">
        <v>324</v>
      </c>
      <c r="L6" s="8" t="s">
        <v>53</v>
      </c>
      <c r="M6" s="9" t="s">
        <v>326</v>
      </c>
      <c r="N6" s="9" t="s">
        <v>327</v>
      </c>
      <c r="O6" s="9" t="s">
        <v>8</v>
      </c>
      <c r="P6" s="8" t="s">
        <v>1279</v>
      </c>
      <c r="Q6" s="9"/>
      <c r="R6" s="3"/>
      <c r="S6" s="3"/>
      <c r="T6" s="3"/>
      <c r="U6" s="3"/>
      <c r="V6" s="3"/>
    </row>
    <row r="7" customFormat="false" ht="34.5" hidden="false" customHeight="true" outlineLevel="0" collapsed="false">
      <c r="A7" s="8" t="s">
        <v>317</v>
      </c>
      <c r="B7" s="8" t="s">
        <v>328</v>
      </c>
      <c r="C7" s="9" t="s">
        <v>329</v>
      </c>
      <c r="D7" s="9" t="s">
        <v>330</v>
      </c>
      <c r="E7" s="9" t="s">
        <v>330</v>
      </c>
      <c r="F7" s="9" t="s">
        <v>331</v>
      </c>
      <c r="G7" s="9" t="s">
        <v>332</v>
      </c>
      <c r="H7" s="9"/>
      <c r="I7" s="9" t="s">
        <v>333</v>
      </c>
      <c r="J7" s="9" t="s">
        <v>334</v>
      </c>
      <c r="K7" s="9" t="s">
        <v>334</v>
      </c>
      <c r="L7" s="8" t="s">
        <v>88</v>
      </c>
      <c r="M7" s="9" t="s">
        <v>336</v>
      </c>
      <c r="N7" s="9" t="s">
        <v>337</v>
      </c>
      <c r="O7" s="9" t="s">
        <v>10</v>
      </c>
      <c r="P7" s="8" t="s">
        <v>1279</v>
      </c>
      <c r="Q7" s="9"/>
      <c r="R7" s="3"/>
      <c r="S7" s="3"/>
      <c r="T7" s="3"/>
      <c r="U7" s="3"/>
      <c r="V7" s="3"/>
    </row>
    <row r="8" customFormat="false" ht="34.5" hidden="false" customHeight="true" outlineLevel="0" collapsed="false">
      <c r="A8" s="8" t="s">
        <v>375</v>
      </c>
      <c r="B8" s="8" t="s">
        <v>376</v>
      </c>
      <c r="C8" s="9" t="s">
        <v>377</v>
      </c>
      <c r="D8" s="9" t="s">
        <v>378</v>
      </c>
      <c r="E8" s="9" t="s">
        <v>379</v>
      </c>
      <c r="F8" s="9" t="s">
        <v>380</v>
      </c>
      <c r="G8" s="9" t="s">
        <v>381</v>
      </c>
      <c r="H8" s="9"/>
      <c r="I8" s="9"/>
      <c r="J8" s="9" t="s">
        <v>382</v>
      </c>
      <c r="K8" s="9" t="s">
        <v>382</v>
      </c>
      <c r="L8" s="8" t="s">
        <v>383</v>
      </c>
      <c r="M8" s="9" t="s">
        <v>385</v>
      </c>
      <c r="N8" s="9" t="s">
        <v>386</v>
      </c>
      <c r="O8" s="9" t="s">
        <v>8</v>
      </c>
      <c r="P8" s="8" t="s">
        <v>1279</v>
      </c>
      <c r="Q8" s="9"/>
      <c r="R8" s="3"/>
      <c r="S8" s="3"/>
      <c r="T8" s="3"/>
      <c r="U8" s="3"/>
      <c r="V8" s="3"/>
    </row>
    <row r="9" customFormat="false" ht="34.5" hidden="false" customHeight="true" outlineLevel="0" collapsed="false">
      <c r="A9" s="8" t="s">
        <v>375</v>
      </c>
      <c r="B9" s="8" t="s">
        <v>388</v>
      </c>
      <c r="C9" s="9" t="s">
        <v>389</v>
      </c>
      <c r="D9" s="9" t="s">
        <v>390</v>
      </c>
      <c r="E9" s="9" t="s">
        <v>391</v>
      </c>
      <c r="F9" s="9" t="s">
        <v>380</v>
      </c>
      <c r="G9" s="9" t="s">
        <v>392</v>
      </c>
      <c r="H9" s="9" t="s">
        <v>393</v>
      </c>
      <c r="I9" s="9" t="s">
        <v>394</v>
      </c>
      <c r="J9" s="9" t="s">
        <v>395</v>
      </c>
      <c r="K9" s="9" t="s">
        <v>395</v>
      </c>
      <c r="L9" s="8" t="s">
        <v>53</v>
      </c>
      <c r="M9" s="9" t="s">
        <v>397</v>
      </c>
      <c r="N9" s="9" t="s">
        <v>398</v>
      </c>
      <c r="O9" s="9" t="s">
        <v>8</v>
      </c>
      <c r="P9" s="8" t="s">
        <v>1279</v>
      </c>
      <c r="Q9" s="9"/>
      <c r="R9" s="3"/>
      <c r="S9" s="3"/>
      <c r="T9" s="3"/>
      <c r="U9" s="3"/>
      <c r="V9" s="3"/>
    </row>
    <row r="10" customFormat="false" ht="34.5" hidden="false" customHeight="true" outlineLevel="0" collapsed="false">
      <c r="A10" s="8" t="s">
        <v>463</v>
      </c>
      <c r="B10" s="8" t="s">
        <v>464</v>
      </c>
      <c r="C10" s="9" t="s">
        <v>465</v>
      </c>
      <c r="D10" s="9" t="s">
        <v>466</v>
      </c>
      <c r="E10" s="9" t="s">
        <v>467</v>
      </c>
      <c r="F10" s="9" t="s">
        <v>468</v>
      </c>
      <c r="G10" s="9" t="s">
        <v>469</v>
      </c>
      <c r="H10" s="9" t="s">
        <v>470</v>
      </c>
      <c r="I10" s="9" t="s">
        <v>471</v>
      </c>
      <c r="J10" s="9" t="s">
        <v>472</v>
      </c>
      <c r="K10" s="9" t="s">
        <v>472</v>
      </c>
      <c r="L10" s="8" t="s">
        <v>53</v>
      </c>
      <c r="M10" s="9" t="s">
        <v>473</v>
      </c>
      <c r="N10" s="9" t="s">
        <v>143</v>
      </c>
      <c r="O10" s="9" t="s">
        <v>8</v>
      </c>
      <c r="P10" s="8" t="s">
        <v>1279</v>
      </c>
      <c r="Q10" s="9" t="s">
        <v>144</v>
      </c>
      <c r="R10" s="3"/>
      <c r="S10" s="3"/>
      <c r="T10" s="3"/>
      <c r="U10" s="3"/>
      <c r="V10" s="3"/>
    </row>
    <row r="11" customFormat="false" ht="34.5" hidden="false" customHeight="true" outlineLevel="0" collapsed="false">
      <c r="A11" s="8" t="s">
        <v>463</v>
      </c>
      <c r="B11" s="8" t="s">
        <v>464</v>
      </c>
      <c r="C11" s="9" t="s">
        <v>474</v>
      </c>
      <c r="D11" s="9" t="s">
        <v>475</v>
      </c>
      <c r="E11" s="9" t="s">
        <v>476</v>
      </c>
      <c r="F11" s="9" t="s">
        <v>116</v>
      </c>
      <c r="G11" s="9" t="s">
        <v>477</v>
      </c>
      <c r="H11" s="9"/>
      <c r="I11" s="9"/>
      <c r="J11" s="9" t="s">
        <v>478</v>
      </c>
      <c r="K11" s="9" t="s">
        <v>478</v>
      </c>
      <c r="L11" s="8" t="s">
        <v>88</v>
      </c>
      <c r="M11" s="9" t="s">
        <v>480</v>
      </c>
      <c r="N11" s="9" t="s">
        <v>481</v>
      </c>
      <c r="O11" s="9" t="s">
        <v>10</v>
      </c>
      <c r="P11" s="8" t="s">
        <v>1279</v>
      </c>
      <c r="Q11" s="9"/>
      <c r="R11" s="3"/>
      <c r="S11" s="3"/>
      <c r="T11" s="3"/>
      <c r="U11" s="3"/>
      <c r="V11" s="3"/>
    </row>
    <row r="12" customFormat="false" ht="23.25" hidden="false" customHeight="true" outlineLevel="0" collapsed="false">
      <c r="A12" s="8" t="s">
        <v>463</v>
      </c>
      <c r="B12" s="8" t="s">
        <v>464</v>
      </c>
      <c r="C12" s="9" t="s">
        <v>482</v>
      </c>
      <c r="D12" s="9" t="s">
        <v>483</v>
      </c>
      <c r="E12" s="9" t="s">
        <v>484</v>
      </c>
      <c r="F12" s="9" t="s">
        <v>116</v>
      </c>
      <c r="G12" s="9" t="s">
        <v>485</v>
      </c>
      <c r="H12" s="9"/>
      <c r="I12" s="9"/>
      <c r="J12" s="9" t="s">
        <v>64</v>
      </c>
      <c r="K12" s="9" t="s">
        <v>64</v>
      </c>
      <c r="L12" s="8" t="s">
        <v>88</v>
      </c>
      <c r="M12" s="9" t="s">
        <v>487</v>
      </c>
      <c r="N12" s="9" t="s">
        <v>488</v>
      </c>
      <c r="O12" s="9" t="s">
        <v>10</v>
      </c>
      <c r="P12" s="8" t="s">
        <v>1279</v>
      </c>
      <c r="Q12" s="9"/>
      <c r="R12" s="3"/>
      <c r="S12" s="3"/>
      <c r="T12" s="3"/>
      <c r="U12" s="3"/>
      <c r="V12" s="3"/>
    </row>
    <row r="13" customFormat="false" ht="45.75" hidden="false" customHeight="true" outlineLevel="0" collapsed="false">
      <c r="A13" s="8" t="s">
        <v>463</v>
      </c>
      <c r="B13" s="8" t="s">
        <v>464</v>
      </c>
      <c r="C13" s="9" t="s">
        <v>489</v>
      </c>
      <c r="D13" s="9" t="s">
        <v>490</v>
      </c>
      <c r="E13" s="9" t="s">
        <v>491</v>
      </c>
      <c r="F13" s="9" t="s">
        <v>492</v>
      </c>
      <c r="G13" s="9" t="s">
        <v>493</v>
      </c>
      <c r="H13" s="9"/>
      <c r="I13" s="9"/>
      <c r="J13" s="9" t="s">
        <v>494</v>
      </c>
      <c r="K13" s="9" t="s">
        <v>494</v>
      </c>
      <c r="L13" s="8" t="s">
        <v>53</v>
      </c>
      <c r="M13" s="9" t="s">
        <v>496</v>
      </c>
      <c r="N13" s="9" t="s">
        <v>497</v>
      </c>
      <c r="O13" s="9" t="s">
        <v>10</v>
      </c>
      <c r="P13" s="8" t="s">
        <v>1279</v>
      </c>
      <c r="Q13" s="9"/>
      <c r="R13" s="3"/>
      <c r="S13" s="3"/>
      <c r="T13" s="3"/>
      <c r="U13" s="3"/>
      <c r="V13" s="3"/>
    </row>
    <row r="14" customFormat="false" ht="34.5" hidden="false" customHeight="true" outlineLevel="0" collapsed="false">
      <c r="A14" s="8" t="s">
        <v>463</v>
      </c>
      <c r="B14" s="8" t="s">
        <v>464</v>
      </c>
      <c r="C14" s="9" t="s">
        <v>498</v>
      </c>
      <c r="D14" s="9" t="s">
        <v>499</v>
      </c>
      <c r="E14" s="9" t="s">
        <v>500</v>
      </c>
      <c r="F14" s="9" t="s">
        <v>501</v>
      </c>
      <c r="G14" s="9" t="s">
        <v>502</v>
      </c>
      <c r="H14" s="9"/>
      <c r="I14" s="9" t="s">
        <v>503</v>
      </c>
      <c r="J14" s="9" t="s">
        <v>504</v>
      </c>
      <c r="K14" s="9" t="s">
        <v>504</v>
      </c>
      <c r="L14" s="8" t="s">
        <v>88</v>
      </c>
      <c r="M14" s="9" t="s">
        <v>506</v>
      </c>
      <c r="N14" s="9" t="s">
        <v>507</v>
      </c>
      <c r="O14" s="9" t="s">
        <v>10</v>
      </c>
      <c r="P14" s="8" t="s">
        <v>1279</v>
      </c>
      <c r="Q14" s="9"/>
      <c r="R14" s="3"/>
      <c r="S14" s="3"/>
      <c r="T14" s="3"/>
      <c r="U14" s="3"/>
      <c r="V14" s="3"/>
    </row>
    <row r="15" customFormat="false" ht="34.5" hidden="false" customHeight="true" outlineLevel="0" collapsed="false">
      <c r="A15" s="8" t="s">
        <v>618</v>
      </c>
      <c r="B15" s="8" t="s">
        <v>619</v>
      </c>
      <c r="C15" s="9" t="s">
        <v>620</v>
      </c>
      <c r="D15" s="9" t="s">
        <v>621</v>
      </c>
      <c r="E15" s="9" t="s">
        <v>622</v>
      </c>
      <c r="F15" s="9" t="s">
        <v>49</v>
      </c>
      <c r="G15" s="9" t="s">
        <v>623</v>
      </c>
      <c r="H15" s="9"/>
      <c r="I15" s="9" t="s">
        <v>624</v>
      </c>
      <c r="J15" s="9" t="s">
        <v>625</v>
      </c>
      <c r="K15" s="9" t="s">
        <v>625</v>
      </c>
      <c r="L15" s="8" t="s">
        <v>53</v>
      </c>
      <c r="M15" s="9" t="s">
        <v>246</v>
      </c>
      <c r="N15" s="9" t="s">
        <v>627</v>
      </c>
      <c r="O15" s="9" t="s">
        <v>10</v>
      </c>
      <c r="P15" s="8" t="s">
        <v>1279</v>
      </c>
      <c r="Q15" s="9"/>
      <c r="R15" s="3"/>
      <c r="S15" s="3"/>
      <c r="T15" s="3"/>
      <c r="U15" s="3"/>
      <c r="V15" s="3"/>
    </row>
    <row r="16" customFormat="false" ht="34.5" hidden="false" customHeight="true" outlineLevel="0" collapsed="false">
      <c r="A16" s="8" t="s">
        <v>641</v>
      </c>
      <c r="B16" s="8" t="s">
        <v>642</v>
      </c>
      <c r="C16" s="9" t="s">
        <v>643</v>
      </c>
      <c r="D16" s="9" t="s">
        <v>644</v>
      </c>
      <c r="E16" s="9" t="s">
        <v>645</v>
      </c>
      <c r="F16" s="9" t="s">
        <v>49</v>
      </c>
      <c r="G16" s="9" t="s">
        <v>646</v>
      </c>
      <c r="H16" s="9"/>
      <c r="I16" s="9"/>
      <c r="J16" s="9" t="s">
        <v>64</v>
      </c>
      <c r="K16" s="9" t="s">
        <v>64</v>
      </c>
      <c r="L16" s="8" t="s">
        <v>88</v>
      </c>
      <c r="M16" s="9" t="s">
        <v>648</v>
      </c>
      <c r="N16" s="9" t="s">
        <v>649</v>
      </c>
      <c r="O16" s="9" t="s">
        <v>10</v>
      </c>
      <c r="P16" s="8" t="s">
        <v>1279</v>
      </c>
      <c r="Q16" s="9"/>
      <c r="R16" s="3"/>
      <c r="S16" s="3"/>
      <c r="T16" s="3"/>
      <c r="U16" s="3"/>
      <c r="V16" s="3"/>
    </row>
    <row r="17" customFormat="false" ht="34.5" hidden="false" customHeight="true" outlineLevel="0" collapsed="false">
      <c r="A17" s="8" t="s">
        <v>641</v>
      </c>
      <c r="B17" s="8" t="s">
        <v>650</v>
      </c>
      <c r="C17" s="9" t="s">
        <v>651</v>
      </c>
      <c r="D17" s="9" t="s">
        <v>652</v>
      </c>
      <c r="E17" s="9" t="s">
        <v>653</v>
      </c>
      <c r="F17" s="9" t="s">
        <v>654</v>
      </c>
      <c r="G17" s="9" t="s">
        <v>655</v>
      </c>
      <c r="H17" s="9" t="s">
        <v>656</v>
      </c>
      <c r="I17" s="9" t="s">
        <v>657</v>
      </c>
      <c r="J17" s="9" t="s">
        <v>658</v>
      </c>
      <c r="K17" s="9" t="s">
        <v>658</v>
      </c>
      <c r="L17" s="8" t="s">
        <v>53</v>
      </c>
      <c r="M17" s="9" t="s">
        <v>659</v>
      </c>
      <c r="N17" s="9" t="s">
        <v>143</v>
      </c>
      <c r="O17" s="9" t="s">
        <v>8</v>
      </c>
      <c r="P17" s="8" t="s">
        <v>1279</v>
      </c>
      <c r="Q17" s="9" t="s">
        <v>144</v>
      </c>
      <c r="R17" s="3"/>
      <c r="S17" s="3"/>
      <c r="T17" s="3"/>
      <c r="U17" s="3"/>
      <c r="V17" s="3"/>
    </row>
    <row r="18" customFormat="false" ht="34.5" hidden="false" customHeight="true" outlineLevel="0" collapsed="false">
      <c r="A18" s="8" t="s">
        <v>707</v>
      </c>
      <c r="B18" s="8" t="s">
        <v>708</v>
      </c>
      <c r="C18" s="9" t="s">
        <v>709</v>
      </c>
      <c r="D18" s="9" t="s">
        <v>710</v>
      </c>
      <c r="E18" s="9" t="s">
        <v>711</v>
      </c>
      <c r="F18" s="9" t="s">
        <v>712</v>
      </c>
      <c r="G18" s="9" t="s">
        <v>713</v>
      </c>
      <c r="H18" s="9"/>
      <c r="I18" s="9" t="s">
        <v>714</v>
      </c>
      <c r="J18" s="9" t="s">
        <v>715</v>
      </c>
      <c r="K18" s="9" t="s">
        <v>715</v>
      </c>
      <c r="L18" s="8" t="s">
        <v>383</v>
      </c>
      <c r="M18" s="9" t="s">
        <v>717</v>
      </c>
      <c r="N18" s="9" t="s">
        <v>718</v>
      </c>
      <c r="O18" s="9" t="s">
        <v>10</v>
      </c>
      <c r="P18" s="8" t="s">
        <v>1279</v>
      </c>
      <c r="Q18" s="9"/>
      <c r="R18" s="3"/>
      <c r="S18" s="3"/>
      <c r="T18" s="3"/>
      <c r="U18" s="3"/>
      <c r="V18" s="3"/>
    </row>
    <row r="19" customFormat="false" ht="34.5" hidden="false" customHeight="true" outlineLevel="0" collapsed="false">
      <c r="A19" s="8" t="s">
        <v>747</v>
      </c>
      <c r="B19" s="8" t="s">
        <v>748</v>
      </c>
      <c r="C19" s="9" t="s">
        <v>749</v>
      </c>
      <c r="D19" s="9" t="s">
        <v>750</v>
      </c>
      <c r="E19" s="9" t="s">
        <v>751</v>
      </c>
      <c r="F19" s="9" t="s">
        <v>380</v>
      </c>
      <c r="G19" s="9" t="s">
        <v>752</v>
      </c>
      <c r="H19" s="9"/>
      <c r="I19" s="9"/>
      <c r="J19" s="9" t="s">
        <v>753</v>
      </c>
      <c r="K19" s="9" t="s">
        <v>753</v>
      </c>
      <c r="L19" s="8" t="s">
        <v>383</v>
      </c>
      <c r="M19" s="9" t="s">
        <v>755</v>
      </c>
      <c r="N19" s="9" t="s">
        <v>756</v>
      </c>
      <c r="O19" s="9" t="s">
        <v>8</v>
      </c>
      <c r="P19" s="8" t="s">
        <v>1279</v>
      </c>
      <c r="Q19" s="9"/>
      <c r="R19" s="3"/>
      <c r="S19" s="3"/>
      <c r="T19" s="3"/>
      <c r="U19" s="3"/>
      <c r="V19" s="3"/>
    </row>
    <row r="20" customFormat="false" ht="34.5" hidden="false" customHeight="true" outlineLevel="0" collapsed="false">
      <c r="A20" s="8" t="s">
        <v>762</v>
      </c>
      <c r="B20" s="8" t="s">
        <v>763</v>
      </c>
      <c r="C20" s="9" t="s">
        <v>764</v>
      </c>
      <c r="D20" s="9" t="s">
        <v>765</v>
      </c>
      <c r="E20" s="9" t="s">
        <v>765</v>
      </c>
      <c r="F20" s="9" t="s">
        <v>331</v>
      </c>
      <c r="G20" s="9"/>
      <c r="H20" s="9"/>
      <c r="I20" s="9"/>
      <c r="J20" s="9" t="s">
        <v>766</v>
      </c>
      <c r="K20" s="9" t="s">
        <v>766</v>
      </c>
      <c r="L20" s="8" t="s">
        <v>383</v>
      </c>
      <c r="M20" s="9" t="s">
        <v>768</v>
      </c>
      <c r="N20" s="9" t="s">
        <v>769</v>
      </c>
      <c r="O20" s="9" t="s">
        <v>12</v>
      </c>
      <c r="P20" s="8" t="s">
        <v>1279</v>
      </c>
      <c r="Q20" s="9"/>
      <c r="R20" s="3"/>
      <c r="S20" s="3"/>
      <c r="T20" s="3"/>
      <c r="U20" s="3"/>
      <c r="V20" s="3"/>
    </row>
    <row r="21" customFormat="false" ht="34.5" hidden="false" customHeight="true" outlineLevel="0" collapsed="false">
      <c r="A21" s="8" t="s">
        <v>830</v>
      </c>
      <c r="B21" s="8" t="s">
        <v>830</v>
      </c>
      <c r="C21" s="9" t="s">
        <v>831</v>
      </c>
      <c r="D21" s="9" t="s">
        <v>832</v>
      </c>
      <c r="E21" s="9" t="s">
        <v>833</v>
      </c>
      <c r="F21" s="9" t="s">
        <v>612</v>
      </c>
      <c r="G21" s="9" t="s">
        <v>834</v>
      </c>
      <c r="H21" s="9"/>
      <c r="I21" s="9" t="s">
        <v>835</v>
      </c>
      <c r="J21" s="9" t="s">
        <v>836</v>
      </c>
      <c r="K21" s="9" t="s">
        <v>836</v>
      </c>
      <c r="L21" s="8" t="s">
        <v>53</v>
      </c>
      <c r="M21" s="9" t="s">
        <v>837</v>
      </c>
      <c r="N21" s="9" t="s">
        <v>143</v>
      </c>
      <c r="O21" s="9" t="s">
        <v>8</v>
      </c>
      <c r="P21" s="8" t="s">
        <v>1279</v>
      </c>
      <c r="Q21" s="9" t="s">
        <v>144</v>
      </c>
      <c r="R21" s="3"/>
      <c r="S21" s="3"/>
      <c r="T21" s="3"/>
      <c r="U21" s="3"/>
      <c r="V21" s="3"/>
    </row>
    <row r="22" customFormat="false" ht="34.5" hidden="false" customHeight="true" outlineLevel="0" collapsed="false">
      <c r="A22" s="8" t="s">
        <v>830</v>
      </c>
      <c r="B22" s="8" t="s">
        <v>830</v>
      </c>
      <c r="C22" s="9" t="s">
        <v>838</v>
      </c>
      <c r="D22" s="9" t="s">
        <v>839</v>
      </c>
      <c r="E22" s="9" t="s">
        <v>840</v>
      </c>
      <c r="F22" s="9" t="s">
        <v>380</v>
      </c>
      <c r="G22" s="9" t="s">
        <v>841</v>
      </c>
      <c r="H22" s="9"/>
      <c r="I22" s="9" t="s">
        <v>842</v>
      </c>
      <c r="J22" s="9" t="s">
        <v>843</v>
      </c>
      <c r="K22" s="9" t="s">
        <v>843</v>
      </c>
      <c r="L22" s="8" t="s">
        <v>88</v>
      </c>
      <c r="M22" s="9" t="s">
        <v>845</v>
      </c>
      <c r="N22" s="9" t="s">
        <v>846</v>
      </c>
      <c r="O22" s="9" t="s">
        <v>8</v>
      </c>
      <c r="P22" s="8" t="s">
        <v>1279</v>
      </c>
      <c r="Q22" s="9"/>
      <c r="R22" s="3"/>
      <c r="S22" s="3"/>
      <c r="T22" s="3"/>
      <c r="U22" s="3"/>
      <c r="V22" s="3"/>
    </row>
    <row r="23" customFormat="false" ht="34.5" hidden="false" customHeight="true" outlineLevel="0" collapsed="false">
      <c r="A23" s="8" t="s">
        <v>854</v>
      </c>
      <c r="B23" s="8" t="s">
        <v>855</v>
      </c>
      <c r="C23" s="9" t="s">
        <v>856</v>
      </c>
      <c r="D23" s="9" t="s">
        <v>857</v>
      </c>
      <c r="E23" s="9" t="s">
        <v>858</v>
      </c>
      <c r="F23" s="9" t="s">
        <v>282</v>
      </c>
      <c r="G23" s="9" t="s">
        <v>859</v>
      </c>
      <c r="H23" s="9"/>
      <c r="I23" s="9"/>
      <c r="J23" s="9" t="s">
        <v>860</v>
      </c>
      <c r="K23" s="9" t="s">
        <v>860</v>
      </c>
      <c r="L23" s="8" t="s">
        <v>53</v>
      </c>
      <c r="M23" s="9" t="s">
        <v>862</v>
      </c>
      <c r="N23" s="9" t="s">
        <v>863</v>
      </c>
      <c r="O23" s="9" t="s">
        <v>8</v>
      </c>
      <c r="P23" s="8" t="s">
        <v>1279</v>
      </c>
      <c r="Q23" s="9"/>
      <c r="R23" s="3"/>
      <c r="S23" s="3"/>
      <c r="T23" s="3"/>
      <c r="U23" s="3"/>
      <c r="V23" s="3"/>
    </row>
    <row r="24" customFormat="false" ht="34.5" hidden="false" customHeight="true" outlineLevel="0" collapsed="false">
      <c r="A24" s="8" t="s">
        <v>892</v>
      </c>
      <c r="B24" s="8" t="s">
        <v>893</v>
      </c>
      <c r="C24" s="9" t="s">
        <v>894</v>
      </c>
      <c r="D24" s="9" t="s">
        <v>895</v>
      </c>
      <c r="E24" s="9" t="s">
        <v>896</v>
      </c>
      <c r="F24" s="9" t="s">
        <v>897</v>
      </c>
      <c r="G24" s="9" t="s">
        <v>898</v>
      </c>
      <c r="H24" s="9" t="s">
        <v>899</v>
      </c>
      <c r="I24" s="9" t="s">
        <v>900</v>
      </c>
      <c r="J24" s="9" t="s">
        <v>901</v>
      </c>
      <c r="K24" s="9" t="s">
        <v>901</v>
      </c>
      <c r="L24" s="8" t="s">
        <v>88</v>
      </c>
      <c r="M24" s="9" t="s">
        <v>903</v>
      </c>
      <c r="N24" s="9" t="s">
        <v>904</v>
      </c>
      <c r="O24" s="9" t="s">
        <v>10</v>
      </c>
      <c r="P24" s="8" t="s">
        <v>1279</v>
      </c>
      <c r="Q24" s="9"/>
      <c r="R24" s="3"/>
      <c r="S24" s="3"/>
      <c r="T24" s="3"/>
      <c r="U24" s="3"/>
      <c r="V24" s="3"/>
    </row>
    <row r="25" customFormat="false" ht="34.5" hidden="false" customHeight="true" outlineLevel="0" collapsed="false">
      <c r="A25" s="8" t="s">
        <v>960</v>
      </c>
      <c r="B25" s="8" t="s">
        <v>961</v>
      </c>
      <c r="C25" s="9" t="s">
        <v>962</v>
      </c>
      <c r="D25" s="9" t="s">
        <v>963</v>
      </c>
      <c r="E25" s="9" t="s">
        <v>964</v>
      </c>
      <c r="F25" s="9" t="s">
        <v>116</v>
      </c>
      <c r="G25" s="9" t="s">
        <v>965</v>
      </c>
      <c r="H25" s="9"/>
      <c r="I25" s="9" t="s">
        <v>966</v>
      </c>
      <c r="J25" s="9" t="s">
        <v>967</v>
      </c>
      <c r="K25" s="9" t="s">
        <v>967</v>
      </c>
      <c r="L25" s="8" t="s">
        <v>53</v>
      </c>
      <c r="M25" s="9" t="s">
        <v>969</v>
      </c>
      <c r="N25" s="9" t="s">
        <v>970</v>
      </c>
      <c r="O25" s="9" t="s">
        <v>10</v>
      </c>
      <c r="P25" s="8" t="s">
        <v>1279</v>
      </c>
      <c r="Q25" s="9"/>
      <c r="R25" s="3"/>
      <c r="S25" s="3"/>
      <c r="T25" s="3"/>
      <c r="U25" s="3"/>
      <c r="V25" s="3"/>
    </row>
    <row r="26" customFormat="false" ht="34.5" hidden="false" customHeight="true" outlineLevel="0" collapsed="false">
      <c r="A26" s="8" t="s">
        <v>960</v>
      </c>
      <c r="B26" s="8" t="s">
        <v>972</v>
      </c>
      <c r="C26" s="9" t="s">
        <v>973</v>
      </c>
      <c r="D26" s="9" t="s">
        <v>974</v>
      </c>
      <c r="E26" s="9" t="s">
        <v>975</v>
      </c>
      <c r="F26" s="9" t="s">
        <v>683</v>
      </c>
      <c r="G26" s="9" t="s">
        <v>976</v>
      </c>
      <c r="H26" s="9"/>
      <c r="I26" s="9" t="s">
        <v>977</v>
      </c>
      <c r="J26" s="9" t="s">
        <v>978</v>
      </c>
      <c r="K26" s="9" t="s">
        <v>978</v>
      </c>
      <c r="L26" s="8" t="s">
        <v>53</v>
      </c>
      <c r="M26" s="9" t="s">
        <v>979</v>
      </c>
      <c r="N26" s="9" t="s">
        <v>143</v>
      </c>
      <c r="O26" s="9" t="s">
        <v>10</v>
      </c>
      <c r="P26" s="8" t="s">
        <v>1279</v>
      </c>
      <c r="Q26" s="9" t="s">
        <v>144</v>
      </c>
      <c r="R26" s="3"/>
      <c r="S26" s="3"/>
      <c r="T26" s="3"/>
      <c r="U26" s="3"/>
      <c r="V26" s="3"/>
    </row>
    <row r="27" customFormat="false" ht="34.5" hidden="false" customHeight="true" outlineLevel="0" collapsed="false">
      <c r="A27" s="8" t="s">
        <v>960</v>
      </c>
      <c r="B27" s="8" t="s">
        <v>961</v>
      </c>
      <c r="C27" s="9" t="s">
        <v>980</v>
      </c>
      <c r="D27" s="9" t="s">
        <v>981</v>
      </c>
      <c r="E27" s="9" t="s">
        <v>982</v>
      </c>
      <c r="F27" s="9" t="s">
        <v>683</v>
      </c>
      <c r="G27" s="9" t="s">
        <v>983</v>
      </c>
      <c r="H27" s="9"/>
      <c r="I27" s="9" t="s">
        <v>984</v>
      </c>
      <c r="J27" s="9" t="s">
        <v>985</v>
      </c>
      <c r="K27" s="9" t="s">
        <v>985</v>
      </c>
      <c r="L27" s="8" t="s">
        <v>53</v>
      </c>
      <c r="M27" s="9" t="s">
        <v>986</v>
      </c>
      <c r="N27" s="9" t="s">
        <v>143</v>
      </c>
      <c r="O27" s="9" t="s">
        <v>10</v>
      </c>
      <c r="P27" s="8" t="s">
        <v>1279</v>
      </c>
      <c r="Q27" s="9" t="s">
        <v>144</v>
      </c>
      <c r="R27" s="3"/>
      <c r="S27" s="3"/>
      <c r="T27" s="3"/>
      <c r="U27" s="3"/>
      <c r="V27" s="3"/>
    </row>
    <row r="28" customFormat="false" ht="34.5" hidden="false" customHeight="true" outlineLevel="0" collapsed="false">
      <c r="A28" s="8" t="s">
        <v>1056</v>
      </c>
      <c r="B28" s="8" t="s">
        <v>1057</v>
      </c>
      <c r="C28" s="9" t="s">
        <v>1058</v>
      </c>
      <c r="D28" s="9" t="s">
        <v>1059</v>
      </c>
      <c r="E28" s="9" t="s">
        <v>1060</v>
      </c>
      <c r="F28" s="9" t="s">
        <v>148</v>
      </c>
      <c r="G28" s="9" t="s">
        <v>1061</v>
      </c>
      <c r="H28" s="9"/>
      <c r="I28" s="9" t="s">
        <v>1062</v>
      </c>
      <c r="J28" s="9" t="s">
        <v>1063</v>
      </c>
      <c r="K28" s="9" t="s">
        <v>1063</v>
      </c>
      <c r="L28" s="8" t="s">
        <v>88</v>
      </c>
      <c r="M28" s="9" t="s">
        <v>1064</v>
      </c>
      <c r="N28" s="9" t="s">
        <v>143</v>
      </c>
      <c r="O28" s="9" t="s">
        <v>8</v>
      </c>
      <c r="P28" s="8" t="s">
        <v>1279</v>
      </c>
      <c r="Q28" s="9" t="s">
        <v>144</v>
      </c>
      <c r="R28" s="3"/>
      <c r="S28" s="3"/>
      <c r="T28" s="3"/>
      <c r="U28" s="3"/>
      <c r="V28" s="3"/>
    </row>
    <row r="29" customFormat="false" ht="34.5" hidden="false" customHeight="true" outlineLevel="0" collapsed="false">
      <c r="A29" s="8" t="s">
        <v>1056</v>
      </c>
      <c r="B29" s="8" t="s">
        <v>1057</v>
      </c>
      <c r="C29" s="9" t="s">
        <v>1065</v>
      </c>
      <c r="D29" s="9" t="s">
        <v>1066</v>
      </c>
      <c r="E29" s="9" t="s">
        <v>1067</v>
      </c>
      <c r="F29" s="9" t="s">
        <v>1068</v>
      </c>
      <c r="G29" s="9" t="s">
        <v>1069</v>
      </c>
      <c r="H29" s="9" t="s">
        <v>1070</v>
      </c>
      <c r="I29" s="9"/>
      <c r="J29" s="9" t="s">
        <v>1071</v>
      </c>
      <c r="K29" s="9" t="s">
        <v>1071</v>
      </c>
      <c r="L29" s="8" t="s">
        <v>53</v>
      </c>
      <c r="M29" s="9" t="s">
        <v>1072</v>
      </c>
      <c r="N29" s="9" t="s">
        <v>143</v>
      </c>
      <c r="O29" s="9" t="s">
        <v>8</v>
      </c>
      <c r="P29" s="8" t="s">
        <v>1279</v>
      </c>
      <c r="Q29" s="9" t="s">
        <v>144</v>
      </c>
      <c r="R29" s="3"/>
      <c r="S29" s="3"/>
      <c r="T29" s="3"/>
      <c r="U29" s="3"/>
      <c r="V29" s="3"/>
    </row>
    <row r="30" customFormat="false" ht="34.5" hidden="false" customHeight="true" outlineLevel="0" collapsed="false">
      <c r="A30" s="8" t="s">
        <v>1056</v>
      </c>
      <c r="B30" s="8" t="s">
        <v>1057</v>
      </c>
      <c r="C30" s="9" t="s">
        <v>1073</v>
      </c>
      <c r="D30" s="9" t="s">
        <v>1074</v>
      </c>
      <c r="E30" s="9" t="s">
        <v>1075</v>
      </c>
      <c r="F30" s="9" t="s">
        <v>116</v>
      </c>
      <c r="G30" s="9" t="s">
        <v>1076</v>
      </c>
      <c r="H30" s="9" t="s">
        <v>1077</v>
      </c>
      <c r="I30" s="9" t="s">
        <v>1078</v>
      </c>
      <c r="J30" s="9" t="s">
        <v>1079</v>
      </c>
      <c r="K30" s="9" t="s">
        <v>1079</v>
      </c>
      <c r="L30" s="8" t="s">
        <v>88</v>
      </c>
      <c r="M30" s="9" t="s">
        <v>1081</v>
      </c>
      <c r="N30" s="9" t="s">
        <v>1082</v>
      </c>
      <c r="O30" s="9" t="s">
        <v>10</v>
      </c>
      <c r="P30" s="8" t="s">
        <v>1279</v>
      </c>
      <c r="Q30" s="9"/>
      <c r="R30" s="3"/>
      <c r="S30" s="3"/>
      <c r="T30" s="3"/>
      <c r="U30" s="3"/>
      <c r="V30" s="3"/>
    </row>
    <row r="31" customFormat="false" ht="34.5" hidden="false" customHeight="true" outlineLevel="0" collapsed="false">
      <c r="A31" s="8" t="s">
        <v>1056</v>
      </c>
      <c r="B31" s="8" t="s">
        <v>1057</v>
      </c>
      <c r="C31" s="9" t="s">
        <v>1083</v>
      </c>
      <c r="D31" s="9" t="s">
        <v>1084</v>
      </c>
      <c r="E31" s="9" t="s">
        <v>1085</v>
      </c>
      <c r="F31" s="9" t="s">
        <v>282</v>
      </c>
      <c r="G31" s="9" t="s">
        <v>1086</v>
      </c>
      <c r="H31" s="9"/>
      <c r="I31" s="9" t="s">
        <v>1087</v>
      </c>
      <c r="J31" s="9" t="s">
        <v>1088</v>
      </c>
      <c r="K31" s="9" t="s">
        <v>1088</v>
      </c>
      <c r="L31" s="8" t="s">
        <v>53</v>
      </c>
      <c r="M31" s="9" t="s">
        <v>1089</v>
      </c>
      <c r="N31" s="9" t="s">
        <v>143</v>
      </c>
      <c r="O31" s="9" t="s">
        <v>8</v>
      </c>
      <c r="P31" s="8" t="s">
        <v>1279</v>
      </c>
      <c r="Q31" s="9" t="s">
        <v>144</v>
      </c>
      <c r="R31" s="3"/>
      <c r="S31" s="3"/>
      <c r="T31" s="3"/>
      <c r="U31" s="3"/>
      <c r="V31" s="3"/>
    </row>
    <row r="32" customFormat="false" ht="34.5" hidden="false" customHeight="true" outlineLevel="0" collapsed="false">
      <c r="A32" s="8" t="s">
        <v>1126</v>
      </c>
      <c r="B32" s="8" t="s">
        <v>1127</v>
      </c>
      <c r="C32" s="9" t="s">
        <v>1128</v>
      </c>
      <c r="D32" s="9" t="s">
        <v>1129</v>
      </c>
      <c r="E32" s="9" t="s">
        <v>1130</v>
      </c>
      <c r="F32" s="9" t="s">
        <v>1131</v>
      </c>
      <c r="G32" s="9"/>
      <c r="H32" s="9"/>
      <c r="I32" s="9"/>
      <c r="J32" s="9" t="s">
        <v>1132</v>
      </c>
      <c r="K32" s="9" t="s">
        <v>1132</v>
      </c>
      <c r="L32" s="8" t="s">
        <v>383</v>
      </c>
      <c r="M32" s="9" t="s">
        <v>1134</v>
      </c>
      <c r="N32" s="9" t="s">
        <v>1135</v>
      </c>
      <c r="O32" s="9" t="s">
        <v>12</v>
      </c>
      <c r="P32" s="8" t="s">
        <v>1279</v>
      </c>
      <c r="Q32" s="9"/>
      <c r="R32" s="3"/>
      <c r="S32" s="3"/>
      <c r="T32" s="3"/>
      <c r="U32" s="3"/>
      <c r="V32" s="3"/>
    </row>
    <row r="33" customFormat="false" ht="45.75" hidden="false" customHeight="true" outlineLevel="0" collapsed="false">
      <c r="A33" s="8" t="s">
        <v>1141</v>
      </c>
      <c r="B33" s="8" t="s">
        <v>1142</v>
      </c>
      <c r="C33" s="9" t="s">
        <v>1143</v>
      </c>
      <c r="D33" s="9" t="s">
        <v>1144</v>
      </c>
      <c r="E33" s="9" t="s">
        <v>1145</v>
      </c>
      <c r="F33" s="9" t="s">
        <v>1146</v>
      </c>
      <c r="G33" s="9" t="s">
        <v>1147</v>
      </c>
      <c r="H33" s="9"/>
      <c r="I33" s="9" t="s">
        <v>1148</v>
      </c>
      <c r="J33" s="9" t="s">
        <v>1149</v>
      </c>
      <c r="K33" s="9" t="s">
        <v>1149</v>
      </c>
      <c r="L33" s="8" t="s">
        <v>53</v>
      </c>
      <c r="M33" s="9" t="s">
        <v>1151</v>
      </c>
      <c r="N33" s="9" t="s">
        <v>1152</v>
      </c>
      <c r="O33" s="9" t="s">
        <v>8</v>
      </c>
      <c r="P33" s="8" t="s">
        <v>1279</v>
      </c>
      <c r="Q33" s="9"/>
      <c r="R33" s="3"/>
      <c r="S33" s="3"/>
      <c r="T33" s="3"/>
      <c r="U33" s="3"/>
      <c r="V33" s="3"/>
    </row>
    <row r="34" customFormat="false" ht="34.5" hidden="false" customHeight="true" outlineLevel="0" collapsed="false">
      <c r="A34" s="8" t="s">
        <v>1141</v>
      </c>
      <c r="B34" s="8" t="s">
        <v>1153</v>
      </c>
      <c r="C34" s="9" t="s">
        <v>1154</v>
      </c>
      <c r="D34" s="9" t="s">
        <v>1155</v>
      </c>
      <c r="E34" s="9" t="s">
        <v>1156</v>
      </c>
      <c r="F34" s="9" t="s">
        <v>1157</v>
      </c>
      <c r="G34" s="9" t="s">
        <v>1158</v>
      </c>
      <c r="H34" s="9"/>
      <c r="I34" s="9"/>
      <c r="J34" s="9" t="s">
        <v>1159</v>
      </c>
      <c r="K34" s="9" t="s">
        <v>1159</v>
      </c>
      <c r="L34" s="8" t="s">
        <v>383</v>
      </c>
      <c r="M34" s="9" t="s">
        <v>1161</v>
      </c>
      <c r="N34" s="9" t="s">
        <v>1162</v>
      </c>
      <c r="O34" s="9" t="s">
        <v>8</v>
      </c>
      <c r="P34" s="8" t="s">
        <v>1279</v>
      </c>
      <c r="Q34" s="9"/>
      <c r="R34" s="3"/>
      <c r="S34" s="3"/>
      <c r="T34" s="3"/>
      <c r="U34" s="3"/>
      <c r="V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customFormat="false" ht="1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customFormat="false" ht="1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customFormat="false" ht="1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customFormat="false" ht="1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customFormat="false" ht="1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customFormat="false" ht="1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customFormat="false" ht="1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customFormat="false" ht="1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customFormat="false" ht="1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customFormat="false" ht="1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customFormat="false" ht="1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customFormat="false" ht="1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customFormat="false" ht="1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customFormat="false" ht="1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customFormat="false" ht="1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customFormat="false" ht="1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customFormat="false" ht="1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customFormat="false" ht="1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customFormat="false" ht="1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customFormat="false" ht="1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customFormat="false" ht="1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customFormat="false" ht="1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customFormat="false" ht="1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customFormat="false" ht="1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customFormat="false" ht="1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customFormat="false" ht="1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customFormat="false" ht="1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customFormat="false" ht="1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customFormat="false" ht="1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customFormat="false" ht="1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customFormat="false" ht="1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customFormat="false" ht="1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customFormat="false" ht="1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customFormat="false" ht="1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customFormat="false" ht="1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customFormat="false" ht="1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customFormat="false" ht="1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customFormat="false" ht="1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customFormat="false" ht="1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customFormat="false" ht="1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customFormat="false" ht="1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customFormat="false" ht="1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customFormat="false" ht="1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customFormat="false" ht="1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customFormat="false" ht="1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customFormat="false" ht="1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customFormat="false" ht="1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customFormat="false" ht="1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customFormat="false" ht="1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customFormat="false" ht="1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customFormat="false" ht="1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customFormat="false" ht="1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customFormat="false" ht="1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customFormat="false" ht="1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customFormat="false" ht="1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customFormat="false" ht="1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customFormat="false" ht="1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customFormat="false" ht="1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customFormat="false" ht="1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customFormat="false" ht="1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customFormat="false" ht="1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customFormat="false" ht="1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customFormat="false" ht="1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customFormat="false" ht="1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customFormat="false" ht="1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customFormat="false" ht="1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customFormat="false" ht="1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customFormat="false" ht="1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customFormat="false" ht="1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customFormat="false" ht="1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customFormat="false" ht="1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customFormat="false" ht="1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customFormat="false" ht="1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customFormat="false" ht="1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customFormat="false" ht="1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customFormat="false" ht="1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customFormat="false" ht="1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customFormat="false" ht="1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customFormat="false" ht="1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customFormat="false" ht="1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customFormat="false" ht="1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customFormat="false" ht="1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customFormat="false" ht="1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customFormat="false" ht="1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customFormat="false" ht="1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customFormat="false" ht="1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customFormat="false" ht="1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customFormat="false" ht="1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customFormat="false" ht="1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customFormat="false" ht="1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customFormat="false" ht="1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customFormat="false" ht="1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</sheetData>
  <conditionalFormatting sqref="L2:L34">
    <cfRule type="expression" priority="2" aboveAverage="0" equalAverage="0" bottom="0" percent="0" rank="0" text="" dxfId="8">
      <formula>L2="A"</formula>
    </cfRule>
    <cfRule type="expression" priority="3" aboveAverage="0" equalAverage="0" bottom="0" percent="0" rank="0" text="" dxfId="9">
      <formula>L2="B"</formula>
    </cfRule>
    <cfRule type="expression" priority="4" aboveAverage="0" equalAverage="0" bottom="0" percent="0" rank="0" text="" dxfId="10">
      <formula>L2="C"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6"/>
    <col collapsed="false" customWidth="true" hidden="false" outlineLevel="0" max="3" min="3" style="1" width="31"/>
    <col collapsed="false" customWidth="true" hidden="false" outlineLevel="0" max="4" min="4" style="1" width="34"/>
    <col collapsed="false" customWidth="true" hidden="false" outlineLevel="0" max="5" min="5" style="1" width="24"/>
    <col collapsed="false" customWidth="true" hidden="false" outlineLevel="0" max="6" min="6" style="1" width="27"/>
    <col collapsed="false" customWidth="true" hidden="false" outlineLevel="0" max="8" min="7" style="1" width="31"/>
    <col collapsed="false" customWidth="true" hidden="false" outlineLevel="0" max="9" min="9" style="1" width="19"/>
    <col collapsed="false" customWidth="true" hidden="false" outlineLevel="0" max="11" min="10" style="1" width="42"/>
    <col collapsed="false" customWidth="true" hidden="false" outlineLevel="0" max="12" min="12" style="1" width="8"/>
    <col collapsed="false" customWidth="true" hidden="false" outlineLevel="0" max="13" min="13" style="1" width="46"/>
    <col collapsed="false" customWidth="true" hidden="false" outlineLevel="0" max="14" min="14" style="1" width="48"/>
    <col collapsed="false" customWidth="true" hidden="false" outlineLevel="0" max="15" min="15" style="1" width="27"/>
    <col collapsed="false" customWidth="true" hidden="false" outlineLevel="0" max="16" min="16" style="1" width="17"/>
    <col collapsed="false" customWidth="true" hidden="false" outlineLevel="0" max="17" min="17" style="1" width="36"/>
  </cols>
  <sheetData>
    <row r="1" customFormat="false" ht="33.75" hidden="false" customHeight="true" outlineLevel="0" collapsed="false">
      <c r="A1" s="7" t="s">
        <v>24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  <c r="H1" s="7" t="s">
        <v>31</v>
      </c>
      <c r="I1" s="7" t="s">
        <v>32</v>
      </c>
      <c r="J1" s="7" t="s">
        <v>33</v>
      </c>
      <c r="K1" s="7" t="s">
        <v>34</v>
      </c>
      <c r="L1" s="7" t="s">
        <v>35</v>
      </c>
      <c r="M1" s="7" t="s">
        <v>37</v>
      </c>
      <c r="N1" s="7" t="s">
        <v>38</v>
      </c>
      <c r="O1" s="7" t="s">
        <v>39</v>
      </c>
      <c r="P1" s="7" t="s">
        <v>41</v>
      </c>
      <c r="Q1" s="7" t="s">
        <v>43</v>
      </c>
      <c r="R1" s="3"/>
      <c r="S1" s="3"/>
      <c r="T1" s="3"/>
      <c r="U1" s="3"/>
      <c r="V1" s="3"/>
    </row>
    <row r="2" customFormat="false" ht="34.5" hidden="false" customHeight="true" outlineLevel="0" collapsed="false">
      <c r="A2" s="8" t="s">
        <v>44</v>
      </c>
      <c r="B2" s="8" t="s">
        <v>45</v>
      </c>
      <c r="C2" s="9" t="s">
        <v>69</v>
      </c>
      <c r="D2" s="9" t="s">
        <v>70</v>
      </c>
      <c r="E2" s="9" t="s">
        <v>71</v>
      </c>
      <c r="F2" s="9" t="s">
        <v>72</v>
      </c>
      <c r="G2" s="9" t="s">
        <v>73</v>
      </c>
      <c r="H2" s="9"/>
      <c r="I2" s="9" t="s">
        <v>74</v>
      </c>
      <c r="J2" s="9" t="s">
        <v>75</v>
      </c>
      <c r="K2" s="9" t="s">
        <v>75</v>
      </c>
      <c r="L2" s="8" t="s">
        <v>53</v>
      </c>
      <c r="M2" s="9" t="s">
        <v>77</v>
      </c>
      <c r="N2" s="9" t="s">
        <v>78</v>
      </c>
      <c r="O2" s="9" t="s">
        <v>10</v>
      </c>
      <c r="P2" s="8" t="s">
        <v>1279</v>
      </c>
      <c r="Q2" s="9" t="s">
        <v>79</v>
      </c>
      <c r="R2" s="3"/>
      <c r="S2" s="3"/>
      <c r="T2" s="3"/>
      <c r="U2" s="3"/>
      <c r="V2" s="3"/>
    </row>
    <row r="3" customFormat="false" ht="34.5" hidden="false" customHeight="true" outlineLevel="0" collapsed="false">
      <c r="A3" s="8" t="s">
        <v>80</v>
      </c>
      <c r="B3" s="8" t="s">
        <v>92</v>
      </c>
      <c r="C3" s="9" t="s">
        <v>93</v>
      </c>
      <c r="D3" s="9" t="s">
        <v>94</v>
      </c>
      <c r="E3" s="9" t="s">
        <v>95</v>
      </c>
      <c r="F3" s="9" t="s">
        <v>72</v>
      </c>
      <c r="G3" s="9" t="s">
        <v>96</v>
      </c>
      <c r="H3" s="9"/>
      <c r="I3" s="9" t="s">
        <v>97</v>
      </c>
      <c r="J3" s="9" t="s">
        <v>98</v>
      </c>
      <c r="K3" s="9" t="s">
        <v>98</v>
      </c>
      <c r="L3" s="8" t="s">
        <v>88</v>
      </c>
      <c r="M3" s="9" t="s">
        <v>99</v>
      </c>
      <c r="N3" s="9" t="s">
        <v>78</v>
      </c>
      <c r="O3" s="9" t="s">
        <v>10</v>
      </c>
      <c r="P3" s="8" t="s">
        <v>1279</v>
      </c>
      <c r="Q3" s="9" t="s">
        <v>79</v>
      </c>
      <c r="R3" s="3"/>
      <c r="S3" s="3"/>
      <c r="T3" s="3"/>
      <c r="U3" s="3"/>
      <c r="V3" s="3"/>
    </row>
    <row r="4" customFormat="false" ht="34.5" hidden="false" customHeight="true" outlineLevel="0" collapsed="false">
      <c r="A4" s="8" t="s">
        <v>100</v>
      </c>
      <c r="B4" s="8" t="s">
        <v>112</v>
      </c>
      <c r="C4" s="9" t="s">
        <v>123</v>
      </c>
      <c r="D4" s="9" t="s">
        <v>124</v>
      </c>
      <c r="E4" s="9" t="s">
        <v>125</v>
      </c>
      <c r="F4" s="9" t="s">
        <v>126</v>
      </c>
      <c r="G4" s="9" t="s">
        <v>127</v>
      </c>
      <c r="H4" s="9" t="s">
        <v>128</v>
      </c>
      <c r="I4" s="9" t="s">
        <v>129</v>
      </c>
      <c r="J4" s="9" t="s">
        <v>130</v>
      </c>
      <c r="K4" s="9" t="s">
        <v>130</v>
      </c>
      <c r="L4" s="8" t="s">
        <v>53</v>
      </c>
      <c r="M4" s="9" t="s">
        <v>131</v>
      </c>
      <c r="N4" s="9" t="s">
        <v>78</v>
      </c>
      <c r="O4" s="9" t="s">
        <v>10</v>
      </c>
      <c r="P4" s="8" t="s">
        <v>1279</v>
      </c>
      <c r="Q4" s="9" t="s">
        <v>79</v>
      </c>
      <c r="R4" s="3"/>
      <c r="S4" s="3"/>
      <c r="T4" s="3"/>
      <c r="U4" s="3"/>
      <c r="V4" s="3"/>
    </row>
    <row r="5" customFormat="false" ht="34.5" hidden="false" customHeight="true" outlineLevel="0" collapsed="false">
      <c r="A5" s="8" t="s">
        <v>132</v>
      </c>
      <c r="B5" s="8" t="s">
        <v>133</v>
      </c>
      <c r="C5" s="9" t="s">
        <v>163</v>
      </c>
      <c r="D5" s="9" t="s">
        <v>94</v>
      </c>
      <c r="E5" s="9" t="s">
        <v>164</v>
      </c>
      <c r="F5" s="9" t="s">
        <v>165</v>
      </c>
      <c r="G5" s="9" t="s">
        <v>166</v>
      </c>
      <c r="H5" s="9" t="s">
        <v>167</v>
      </c>
      <c r="I5" s="9" t="s">
        <v>168</v>
      </c>
      <c r="J5" s="9" t="s">
        <v>169</v>
      </c>
      <c r="K5" s="9" t="s">
        <v>169</v>
      </c>
      <c r="L5" s="8" t="s">
        <v>53</v>
      </c>
      <c r="M5" s="9" t="s">
        <v>99</v>
      </c>
      <c r="N5" s="9" t="s">
        <v>78</v>
      </c>
      <c r="O5" s="9" t="s">
        <v>8</v>
      </c>
      <c r="P5" s="8" t="s">
        <v>1279</v>
      </c>
      <c r="Q5" s="9" t="s">
        <v>79</v>
      </c>
      <c r="R5" s="3"/>
      <c r="S5" s="3"/>
      <c r="T5" s="3"/>
      <c r="U5" s="3"/>
      <c r="V5" s="3"/>
    </row>
    <row r="6" customFormat="false" ht="34.5" hidden="false" customHeight="true" outlineLevel="0" collapsed="false">
      <c r="A6" s="8" t="s">
        <v>170</v>
      </c>
      <c r="B6" s="8" t="s">
        <v>191</v>
      </c>
      <c r="C6" s="9" t="s">
        <v>200</v>
      </c>
      <c r="D6" s="9" t="s">
        <v>94</v>
      </c>
      <c r="E6" s="9" t="s">
        <v>201</v>
      </c>
      <c r="F6" s="9" t="s">
        <v>202</v>
      </c>
      <c r="G6" s="9" t="s">
        <v>203</v>
      </c>
      <c r="H6" s="9" t="s">
        <v>204</v>
      </c>
      <c r="I6" s="9" t="s">
        <v>205</v>
      </c>
      <c r="J6" s="9" t="s">
        <v>177</v>
      </c>
      <c r="K6" s="9" t="s">
        <v>177</v>
      </c>
      <c r="L6" s="8" t="s">
        <v>53</v>
      </c>
      <c r="M6" s="9" t="s">
        <v>99</v>
      </c>
      <c r="N6" s="9" t="s">
        <v>78</v>
      </c>
      <c r="O6" s="9" t="s">
        <v>8</v>
      </c>
      <c r="P6" s="8" t="s">
        <v>1279</v>
      </c>
      <c r="Q6" s="9" t="s">
        <v>79</v>
      </c>
      <c r="R6" s="3"/>
      <c r="S6" s="3"/>
      <c r="T6" s="3"/>
      <c r="U6" s="3"/>
      <c r="V6" s="3"/>
    </row>
    <row r="7" customFormat="false" ht="34.5" hidden="false" customHeight="true" outlineLevel="0" collapsed="false">
      <c r="A7" s="8" t="s">
        <v>236</v>
      </c>
      <c r="B7" s="8" t="s">
        <v>259</v>
      </c>
      <c r="C7" s="9" t="s">
        <v>260</v>
      </c>
      <c r="D7" s="9" t="s">
        <v>261</v>
      </c>
      <c r="E7" s="9" t="s">
        <v>262</v>
      </c>
      <c r="F7" s="9" t="s">
        <v>72</v>
      </c>
      <c r="G7" s="9" t="s">
        <v>263</v>
      </c>
      <c r="H7" s="9"/>
      <c r="I7" s="9" t="s">
        <v>264</v>
      </c>
      <c r="J7" s="9" t="s">
        <v>265</v>
      </c>
      <c r="K7" s="9" t="s">
        <v>265</v>
      </c>
      <c r="L7" s="8" t="s">
        <v>88</v>
      </c>
      <c r="M7" s="9" t="s">
        <v>266</v>
      </c>
      <c r="N7" s="9" t="s">
        <v>78</v>
      </c>
      <c r="O7" s="9" t="s">
        <v>10</v>
      </c>
      <c r="P7" s="8" t="s">
        <v>1279</v>
      </c>
      <c r="Q7" s="9" t="s">
        <v>79</v>
      </c>
      <c r="R7" s="3"/>
      <c r="S7" s="3"/>
      <c r="T7" s="3"/>
      <c r="U7" s="3"/>
      <c r="V7" s="3"/>
    </row>
    <row r="8" customFormat="false" ht="34.5" hidden="false" customHeight="true" outlineLevel="0" collapsed="false">
      <c r="A8" s="8" t="s">
        <v>267</v>
      </c>
      <c r="B8" s="8" t="s">
        <v>299</v>
      </c>
      <c r="C8" s="9" t="s">
        <v>310</v>
      </c>
      <c r="D8" s="9" t="s">
        <v>311</v>
      </c>
      <c r="E8" s="9" t="s">
        <v>311</v>
      </c>
      <c r="F8" s="9" t="s">
        <v>72</v>
      </c>
      <c r="G8" s="9" t="s">
        <v>312</v>
      </c>
      <c r="H8" s="9" t="s">
        <v>313</v>
      </c>
      <c r="I8" s="9" t="s">
        <v>314</v>
      </c>
      <c r="J8" s="9" t="s">
        <v>315</v>
      </c>
      <c r="K8" s="9" t="s">
        <v>315</v>
      </c>
      <c r="L8" s="8" t="s">
        <v>53</v>
      </c>
      <c r="M8" s="9" t="s">
        <v>316</v>
      </c>
      <c r="N8" s="9" t="s">
        <v>78</v>
      </c>
      <c r="O8" s="9" t="s">
        <v>10</v>
      </c>
      <c r="P8" s="8" t="s">
        <v>1279</v>
      </c>
      <c r="Q8" s="9" t="s">
        <v>79</v>
      </c>
      <c r="R8" s="3"/>
      <c r="S8" s="3"/>
      <c r="T8" s="3"/>
      <c r="U8" s="3"/>
      <c r="V8" s="3"/>
    </row>
    <row r="9" customFormat="false" ht="34.5" hidden="false" customHeight="true" outlineLevel="0" collapsed="false">
      <c r="A9" s="8" t="s">
        <v>317</v>
      </c>
      <c r="B9" s="8" t="s">
        <v>347</v>
      </c>
      <c r="C9" s="9" t="s">
        <v>348</v>
      </c>
      <c r="D9" s="9" t="s">
        <v>349</v>
      </c>
      <c r="E9" s="9" t="s">
        <v>350</v>
      </c>
      <c r="F9" s="9" t="s">
        <v>351</v>
      </c>
      <c r="G9" s="9" t="s">
        <v>352</v>
      </c>
      <c r="H9" s="9"/>
      <c r="I9" s="9" t="s">
        <v>353</v>
      </c>
      <c r="J9" s="9" t="s">
        <v>354</v>
      </c>
      <c r="K9" s="9" t="s">
        <v>354</v>
      </c>
      <c r="L9" s="8" t="s">
        <v>53</v>
      </c>
      <c r="M9" s="9" t="s">
        <v>355</v>
      </c>
      <c r="N9" s="9" t="s">
        <v>78</v>
      </c>
      <c r="O9" s="9" t="s">
        <v>8</v>
      </c>
      <c r="P9" s="8" t="s">
        <v>1279</v>
      </c>
      <c r="Q9" s="9" t="s">
        <v>79</v>
      </c>
      <c r="R9" s="3"/>
      <c r="S9" s="3"/>
      <c r="T9" s="3"/>
      <c r="U9" s="3"/>
      <c r="V9" s="3"/>
    </row>
    <row r="10" customFormat="false" ht="34.5" hidden="false" customHeight="true" outlineLevel="0" collapsed="false">
      <c r="A10" s="8" t="s">
        <v>356</v>
      </c>
      <c r="B10" s="8" t="s">
        <v>367</v>
      </c>
      <c r="C10" s="9" t="s">
        <v>368</v>
      </c>
      <c r="D10" s="9" t="s">
        <v>369</v>
      </c>
      <c r="E10" s="9" t="s">
        <v>370</v>
      </c>
      <c r="F10" s="9" t="s">
        <v>72</v>
      </c>
      <c r="G10" s="9" t="s">
        <v>371</v>
      </c>
      <c r="H10" s="9"/>
      <c r="I10" s="9" t="s">
        <v>372</v>
      </c>
      <c r="J10" s="9" t="s">
        <v>373</v>
      </c>
      <c r="K10" s="9" t="s">
        <v>373</v>
      </c>
      <c r="L10" s="8" t="s">
        <v>88</v>
      </c>
      <c r="M10" s="9" t="s">
        <v>374</v>
      </c>
      <c r="N10" s="9" t="s">
        <v>78</v>
      </c>
      <c r="O10" s="9" t="s">
        <v>10</v>
      </c>
      <c r="P10" s="8" t="s">
        <v>1279</v>
      </c>
      <c r="Q10" s="9" t="s">
        <v>79</v>
      </c>
      <c r="R10" s="3"/>
      <c r="S10" s="3"/>
      <c r="T10" s="3"/>
      <c r="U10" s="3"/>
      <c r="V10" s="3"/>
    </row>
    <row r="11" customFormat="false" ht="34.5" hidden="false" customHeight="true" outlineLevel="0" collapsed="false">
      <c r="A11" s="8" t="s">
        <v>375</v>
      </c>
      <c r="B11" s="8" t="s">
        <v>429</v>
      </c>
      <c r="C11" s="9" t="s">
        <v>430</v>
      </c>
      <c r="D11" s="9" t="s">
        <v>431</v>
      </c>
      <c r="E11" s="9" t="s">
        <v>432</v>
      </c>
      <c r="F11" s="9" t="s">
        <v>433</v>
      </c>
      <c r="G11" s="9" t="s">
        <v>434</v>
      </c>
      <c r="H11" s="9"/>
      <c r="I11" s="9" t="s">
        <v>435</v>
      </c>
      <c r="J11" s="9" t="s">
        <v>436</v>
      </c>
      <c r="K11" s="9" t="s">
        <v>436</v>
      </c>
      <c r="L11" s="8" t="s">
        <v>53</v>
      </c>
      <c r="M11" s="9" t="s">
        <v>437</v>
      </c>
      <c r="N11" s="9" t="s">
        <v>78</v>
      </c>
      <c r="O11" s="9" t="s">
        <v>10</v>
      </c>
      <c r="P11" s="8" t="s">
        <v>1279</v>
      </c>
      <c r="Q11" s="9" t="s">
        <v>79</v>
      </c>
      <c r="R11" s="3"/>
      <c r="S11" s="3"/>
      <c r="T11" s="3"/>
      <c r="U11" s="3"/>
      <c r="V11" s="3"/>
    </row>
    <row r="12" customFormat="false" ht="34.5" hidden="false" customHeight="true" outlineLevel="0" collapsed="false">
      <c r="A12" s="8" t="s">
        <v>438</v>
      </c>
      <c r="B12" s="8" t="s">
        <v>457</v>
      </c>
      <c r="C12" s="9" t="s">
        <v>458</v>
      </c>
      <c r="D12" s="9" t="s">
        <v>94</v>
      </c>
      <c r="E12" s="9" t="s">
        <v>459</v>
      </c>
      <c r="F12" s="9" t="s">
        <v>72</v>
      </c>
      <c r="G12" s="9" t="s">
        <v>460</v>
      </c>
      <c r="H12" s="9"/>
      <c r="I12" s="9" t="s">
        <v>461</v>
      </c>
      <c r="J12" s="9" t="s">
        <v>462</v>
      </c>
      <c r="K12" s="9" t="s">
        <v>462</v>
      </c>
      <c r="L12" s="8" t="s">
        <v>88</v>
      </c>
      <c r="M12" s="9" t="s">
        <v>99</v>
      </c>
      <c r="N12" s="9" t="s">
        <v>78</v>
      </c>
      <c r="O12" s="9" t="s">
        <v>10</v>
      </c>
      <c r="P12" s="8" t="s">
        <v>1279</v>
      </c>
      <c r="Q12" s="9" t="s">
        <v>79</v>
      </c>
      <c r="R12" s="3"/>
      <c r="S12" s="3"/>
      <c r="T12" s="3"/>
      <c r="U12" s="3"/>
      <c r="V12" s="3"/>
    </row>
    <row r="13" customFormat="false" ht="34.5" hidden="false" customHeight="true" outlineLevel="0" collapsed="false">
      <c r="A13" s="8" t="s">
        <v>463</v>
      </c>
      <c r="B13" s="8" t="s">
        <v>464</v>
      </c>
      <c r="C13" s="9" t="s">
        <v>550</v>
      </c>
      <c r="D13" s="9" t="s">
        <v>94</v>
      </c>
      <c r="E13" s="9" t="s">
        <v>551</v>
      </c>
      <c r="F13" s="9" t="s">
        <v>72</v>
      </c>
      <c r="G13" s="9" t="s">
        <v>552</v>
      </c>
      <c r="H13" s="9"/>
      <c r="I13" s="9" t="s">
        <v>553</v>
      </c>
      <c r="J13" s="9" t="s">
        <v>554</v>
      </c>
      <c r="K13" s="9" t="s">
        <v>554</v>
      </c>
      <c r="L13" s="8" t="s">
        <v>53</v>
      </c>
      <c r="M13" s="9" t="s">
        <v>99</v>
      </c>
      <c r="N13" s="9" t="s">
        <v>78</v>
      </c>
      <c r="O13" s="9" t="s">
        <v>10</v>
      </c>
      <c r="P13" s="8" t="s">
        <v>1279</v>
      </c>
      <c r="Q13" s="9" t="s">
        <v>79</v>
      </c>
      <c r="R13" s="3"/>
      <c r="S13" s="3"/>
      <c r="T13" s="3"/>
      <c r="U13" s="3"/>
      <c r="V13" s="3"/>
    </row>
    <row r="14" customFormat="false" ht="34.5" hidden="false" customHeight="true" outlineLevel="0" collapsed="false">
      <c r="A14" s="8" t="s">
        <v>555</v>
      </c>
      <c r="B14" s="8" t="s">
        <v>608</v>
      </c>
      <c r="C14" s="9" t="s">
        <v>609</v>
      </c>
      <c r="D14" s="9" t="s">
        <v>610</v>
      </c>
      <c r="E14" s="9" t="s">
        <v>611</v>
      </c>
      <c r="F14" s="9" t="s">
        <v>612</v>
      </c>
      <c r="G14" s="9" t="s">
        <v>613</v>
      </c>
      <c r="H14" s="9" t="s">
        <v>614</v>
      </c>
      <c r="I14" s="9" t="s">
        <v>615</v>
      </c>
      <c r="J14" s="9" t="s">
        <v>616</v>
      </c>
      <c r="K14" s="9" t="s">
        <v>616</v>
      </c>
      <c r="L14" s="8" t="s">
        <v>53</v>
      </c>
      <c r="M14" s="9" t="s">
        <v>617</v>
      </c>
      <c r="N14" s="9" t="s">
        <v>78</v>
      </c>
      <c r="O14" s="9" t="s">
        <v>8</v>
      </c>
      <c r="P14" s="8" t="s">
        <v>1279</v>
      </c>
      <c r="Q14" s="9" t="s">
        <v>79</v>
      </c>
      <c r="R14" s="3"/>
      <c r="S14" s="3"/>
      <c r="T14" s="3"/>
      <c r="U14" s="3"/>
      <c r="V14" s="3"/>
    </row>
    <row r="15" customFormat="false" ht="34.5" hidden="false" customHeight="true" outlineLevel="0" collapsed="false">
      <c r="A15" s="8" t="s">
        <v>618</v>
      </c>
      <c r="B15" s="8" t="s">
        <v>619</v>
      </c>
      <c r="C15" s="9" t="s">
        <v>636</v>
      </c>
      <c r="D15" s="9" t="s">
        <v>94</v>
      </c>
      <c r="E15" s="9" t="s">
        <v>637</v>
      </c>
      <c r="F15" s="9" t="s">
        <v>72</v>
      </c>
      <c r="G15" s="9" t="s">
        <v>638</v>
      </c>
      <c r="H15" s="9"/>
      <c r="I15" s="9" t="s">
        <v>639</v>
      </c>
      <c r="J15" s="9" t="s">
        <v>640</v>
      </c>
      <c r="K15" s="9" t="s">
        <v>640</v>
      </c>
      <c r="L15" s="8" t="s">
        <v>53</v>
      </c>
      <c r="M15" s="9" t="s">
        <v>99</v>
      </c>
      <c r="N15" s="9" t="s">
        <v>78</v>
      </c>
      <c r="O15" s="9" t="s">
        <v>10</v>
      </c>
      <c r="P15" s="8" t="s">
        <v>1279</v>
      </c>
      <c r="Q15" s="9" t="s">
        <v>79</v>
      </c>
      <c r="R15" s="3"/>
      <c r="S15" s="3"/>
      <c r="T15" s="3"/>
      <c r="U15" s="3"/>
      <c r="V15" s="3"/>
    </row>
    <row r="16" customFormat="false" ht="34.5" hidden="false" customHeight="true" outlineLevel="0" collapsed="false">
      <c r="A16" s="8" t="s">
        <v>641</v>
      </c>
      <c r="B16" s="8" t="s">
        <v>679</v>
      </c>
      <c r="C16" s="9" t="s">
        <v>700</v>
      </c>
      <c r="D16" s="9" t="s">
        <v>701</v>
      </c>
      <c r="E16" s="9" t="s">
        <v>702</v>
      </c>
      <c r="F16" s="9" t="s">
        <v>612</v>
      </c>
      <c r="G16" s="9" t="s">
        <v>703</v>
      </c>
      <c r="H16" s="9"/>
      <c r="I16" s="9" t="s">
        <v>704</v>
      </c>
      <c r="J16" s="9" t="s">
        <v>705</v>
      </c>
      <c r="K16" s="9" t="s">
        <v>705</v>
      </c>
      <c r="L16" s="8" t="s">
        <v>53</v>
      </c>
      <c r="M16" s="9" t="s">
        <v>706</v>
      </c>
      <c r="N16" s="9" t="s">
        <v>78</v>
      </c>
      <c r="O16" s="9" t="s">
        <v>8</v>
      </c>
      <c r="P16" s="8" t="s">
        <v>1279</v>
      </c>
      <c r="Q16" s="9" t="s">
        <v>79</v>
      </c>
      <c r="R16" s="3"/>
      <c r="S16" s="3"/>
      <c r="T16" s="3"/>
      <c r="U16" s="3"/>
      <c r="V16" s="3"/>
    </row>
    <row r="17" customFormat="false" ht="34.5" hidden="false" customHeight="true" outlineLevel="0" collapsed="false">
      <c r="A17" s="8" t="s">
        <v>707</v>
      </c>
      <c r="B17" s="8" t="s">
        <v>708</v>
      </c>
      <c r="C17" s="9" t="s">
        <v>720</v>
      </c>
      <c r="D17" s="9" t="s">
        <v>94</v>
      </c>
      <c r="E17" s="9" t="s">
        <v>721</v>
      </c>
      <c r="F17" s="9" t="s">
        <v>72</v>
      </c>
      <c r="G17" s="9" t="s">
        <v>722</v>
      </c>
      <c r="H17" s="9"/>
      <c r="I17" s="9" t="s">
        <v>723</v>
      </c>
      <c r="J17" s="9" t="s">
        <v>724</v>
      </c>
      <c r="K17" s="9" t="s">
        <v>724</v>
      </c>
      <c r="L17" s="8" t="s">
        <v>88</v>
      </c>
      <c r="M17" s="9" t="s">
        <v>99</v>
      </c>
      <c r="N17" s="9" t="s">
        <v>78</v>
      </c>
      <c r="O17" s="9" t="s">
        <v>10</v>
      </c>
      <c r="P17" s="8" t="s">
        <v>1279</v>
      </c>
      <c r="Q17" s="9" t="s">
        <v>79</v>
      </c>
      <c r="R17" s="3"/>
      <c r="S17" s="3"/>
      <c r="T17" s="3"/>
      <c r="U17" s="3"/>
      <c r="V17" s="3"/>
    </row>
    <row r="18" customFormat="false" ht="34.5" hidden="false" customHeight="true" outlineLevel="0" collapsed="false">
      <c r="A18" s="8" t="s">
        <v>725</v>
      </c>
      <c r="B18" s="8" t="s">
        <v>726</v>
      </c>
      <c r="C18" s="9" t="s">
        <v>738</v>
      </c>
      <c r="D18" s="9" t="s">
        <v>739</v>
      </c>
      <c r="E18" s="9" t="s">
        <v>740</v>
      </c>
      <c r="F18" s="9" t="s">
        <v>741</v>
      </c>
      <c r="G18" s="9" t="s">
        <v>742</v>
      </c>
      <c r="H18" s="9" t="s">
        <v>743</v>
      </c>
      <c r="I18" s="9" t="s">
        <v>744</v>
      </c>
      <c r="J18" s="9" t="s">
        <v>745</v>
      </c>
      <c r="K18" s="9" t="s">
        <v>745</v>
      </c>
      <c r="L18" s="8" t="s">
        <v>53</v>
      </c>
      <c r="M18" s="9" t="s">
        <v>746</v>
      </c>
      <c r="N18" s="9" t="s">
        <v>78</v>
      </c>
      <c r="O18" s="9" t="s">
        <v>10</v>
      </c>
      <c r="P18" s="8" t="s">
        <v>1279</v>
      </c>
      <c r="Q18" s="9" t="s">
        <v>79</v>
      </c>
      <c r="R18" s="3"/>
      <c r="S18" s="3"/>
      <c r="T18" s="3"/>
      <c r="U18" s="3"/>
      <c r="V18" s="3"/>
    </row>
    <row r="19" customFormat="false" ht="34.5" hidden="false" customHeight="true" outlineLevel="0" collapsed="false">
      <c r="A19" s="8" t="s">
        <v>747</v>
      </c>
      <c r="B19" s="8" t="s">
        <v>748</v>
      </c>
      <c r="C19" s="9" t="s">
        <v>757</v>
      </c>
      <c r="D19" s="9" t="s">
        <v>94</v>
      </c>
      <c r="E19" s="9" t="s">
        <v>758</v>
      </c>
      <c r="F19" s="9" t="s">
        <v>72</v>
      </c>
      <c r="G19" s="9" t="s">
        <v>759</v>
      </c>
      <c r="H19" s="9"/>
      <c r="I19" s="9" t="s">
        <v>760</v>
      </c>
      <c r="J19" s="9" t="s">
        <v>761</v>
      </c>
      <c r="K19" s="9" t="s">
        <v>761</v>
      </c>
      <c r="L19" s="8" t="s">
        <v>88</v>
      </c>
      <c r="M19" s="9" t="s">
        <v>99</v>
      </c>
      <c r="N19" s="9" t="s">
        <v>78</v>
      </c>
      <c r="O19" s="9" t="s">
        <v>10</v>
      </c>
      <c r="P19" s="8" t="s">
        <v>1279</v>
      </c>
      <c r="Q19" s="9" t="s">
        <v>79</v>
      </c>
      <c r="R19" s="3"/>
      <c r="S19" s="3"/>
      <c r="T19" s="3"/>
      <c r="U19" s="3"/>
      <c r="V19" s="3"/>
    </row>
    <row r="20" customFormat="false" ht="34.5" hidden="false" customHeight="true" outlineLevel="0" collapsed="false">
      <c r="A20" s="8" t="s">
        <v>762</v>
      </c>
      <c r="B20" s="8" t="s">
        <v>763</v>
      </c>
      <c r="C20" s="9" t="s">
        <v>770</v>
      </c>
      <c r="D20" s="9" t="s">
        <v>94</v>
      </c>
      <c r="E20" s="9" t="s">
        <v>771</v>
      </c>
      <c r="F20" s="9" t="s">
        <v>772</v>
      </c>
      <c r="G20" s="9" t="s">
        <v>773</v>
      </c>
      <c r="H20" s="9" t="s">
        <v>774</v>
      </c>
      <c r="I20" s="9" t="s">
        <v>775</v>
      </c>
      <c r="J20" s="9" t="s">
        <v>776</v>
      </c>
      <c r="K20" s="9" t="s">
        <v>776</v>
      </c>
      <c r="L20" s="8" t="s">
        <v>53</v>
      </c>
      <c r="M20" s="9" t="s">
        <v>99</v>
      </c>
      <c r="N20" s="9" t="s">
        <v>78</v>
      </c>
      <c r="O20" s="9" t="s">
        <v>8</v>
      </c>
      <c r="P20" s="8" t="s">
        <v>1279</v>
      </c>
      <c r="Q20" s="9" t="s">
        <v>79</v>
      </c>
      <c r="R20" s="3"/>
      <c r="S20" s="3"/>
      <c r="T20" s="3"/>
      <c r="U20" s="3"/>
      <c r="V20" s="3"/>
    </row>
    <row r="21" customFormat="false" ht="34.5" hidden="false" customHeight="true" outlineLevel="0" collapsed="false">
      <c r="A21" s="8" t="s">
        <v>777</v>
      </c>
      <c r="B21" s="8" t="s">
        <v>788</v>
      </c>
      <c r="C21" s="9" t="s">
        <v>821</v>
      </c>
      <c r="D21" s="9" t="s">
        <v>822</v>
      </c>
      <c r="E21" s="9" t="s">
        <v>823</v>
      </c>
      <c r="F21" s="9" t="s">
        <v>824</v>
      </c>
      <c r="G21" s="9" t="s">
        <v>825</v>
      </c>
      <c r="H21" s="9" t="s">
        <v>826</v>
      </c>
      <c r="I21" s="9" t="s">
        <v>827</v>
      </c>
      <c r="J21" s="9" t="s">
        <v>828</v>
      </c>
      <c r="K21" s="9" t="s">
        <v>828</v>
      </c>
      <c r="L21" s="8" t="s">
        <v>53</v>
      </c>
      <c r="M21" s="9" t="s">
        <v>829</v>
      </c>
      <c r="N21" s="9" t="s">
        <v>78</v>
      </c>
      <c r="O21" s="9" t="s">
        <v>8</v>
      </c>
      <c r="P21" s="8" t="s">
        <v>1279</v>
      </c>
      <c r="Q21" s="9" t="s">
        <v>79</v>
      </c>
      <c r="R21" s="3"/>
      <c r="S21" s="3"/>
      <c r="T21" s="3"/>
      <c r="U21" s="3"/>
      <c r="V21" s="3"/>
    </row>
    <row r="22" customFormat="false" ht="45.75" hidden="false" customHeight="true" outlineLevel="0" collapsed="false">
      <c r="A22" s="8" t="s">
        <v>830</v>
      </c>
      <c r="B22" s="8" t="s">
        <v>830</v>
      </c>
      <c r="C22" s="9" t="s">
        <v>847</v>
      </c>
      <c r="D22" s="9" t="s">
        <v>848</v>
      </c>
      <c r="E22" s="9" t="s">
        <v>849</v>
      </c>
      <c r="F22" s="9" t="s">
        <v>850</v>
      </c>
      <c r="G22" s="9"/>
      <c r="H22" s="9"/>
      <c r="I22" s="9" t="s">
        <v>851</v>
      </c>
      <c r="J22" s="9" t="s">
        <v>852</v>
      </c>
      <c r="K22" s="9" t="s">
        <v>852</v>
      </c>
      <c r="L22" s="8" t="s">
        <v>88</v>
      </c>
      <c r="M22" s="9" t="s">
        <v>853</v>
      </c>
      <c r="N22" s="9" t="s">
        <v>78</v>
      </c>
      <c r="O22" s="9" t="s">
        <v>12</v>
      </c>
      <c r="P22" s="8" t="s">
        <v>1279</v>
      </c>
      <c r="Q22" s="9" t="s">
        <v>1280</v>
      </c>
      <c r="R22" s="3"/>
      <c r="S22" s="3"/>
      <c r="T22" s="3"/>
      <c r="U22" s="3"/>
      <c r="V22" s="3"/>
    </row>
    <row r="23" customFormat="false" ht="34.5" hidden="false" customHeight="true" outlineLevel="0" collapsed="false">
      <c r="A23" s="8" t="s">
        <v>854</v>
      </c>
      <c r="B23" s="8" t="s">
        <v>347</v>
      </c>
      <c r="C23" s="9" t="s">
        <v>886</v>
      </c>
      <c r="D23" s="9" t="s">
        <v>94</v>
      </c>
      <c r="E23" s="9" t="s">
        <v>887</v>
      </c>
      <c r="F23" s="9" t="s">
        <v>72</v>
      </c>
      <c r="G23" s="9" t="s">
        <v>888</v>
      </c>
      <c r="H23" s="9" t="s">
        <v>889</v>
      </c>
      <c r="I23" s="9" t="s">
        <v>890</v>
      </c>
      <c r="J23" s="9" t="s">
        <v>891</v>
      </c>
      <c r="K23" s="9" t="s">
        <v>891</v>
      </c>
      <c r="L23" s="8" t="s">
        <v>53</v>
      </c>
      <c r="M23" s="9" t="s">
        <v>99</v>
      </c>
      <c r="N23" s="9" t="s">
        <v>78</v>
      </c>
      <c r="O23" s="9" t="s">
        <v>10</v>
      </c>
      <c r="P23" s="8" t="s">
        <v>1279</v>
      </c>
      <c r="Q23" s="9" t="s">
        <v>79</v>
      </c>
      <c r="R23" s="3"/>
      <c r="S23" s="3"/>
      <c r="T23" s="3"/>
      <c r="U23" s="3"/>
      <c r="V23" s="3"/>
    </row>
    <row r="24" customFormat="false" ht="34.5" hidden="false" customHeight="true" outlineLevel="0" collapsed="false">
      <c r="A24" s="8" t="s">
        <v>892</v>
      </c>
      <c r="B24" s="8" t="s">
        <v>893</v>
      </c>
      <c r="C24" s="9" t="s">
        <v>933</v>
      </c>
      <c r="D24" s="9" t="s">
        <v>94</v>
      </c>
      <c r="E24" s="9" t="s">
        <v>934</v>
      </c>
      <c r="F24" s="9" t="s">
        <v>935</v>
      </c>
      <c r="G24" s="9" t="s">
        <v>936</v>
      </c>
      <c r="H24" s="9" t="s">
        <v>937</v>
      </c>
      <c r="I24" s="9" t="s">
        <v>938</v>
      </c>
      <c r="J24" s="9" t="s">
        <v>939</v>
      </c>
      <c r="K24" s="9" t="s">
        <v>939</v>
      </c>
      <c r="L24" s="8" t="s">
        <v>53</v>
      </c>
      <c r="M24" s="9" t="s">
        <v>99</v>
      </c>
      <c r="N24" s="9" t="s">
        <v>78</v>
      </c>
      <c r="O24" s="9" t="s">
        <v>8</v>
      </c>
      <c r="P24" s="8" t="s">
        <v>1279</v>
      </c>
      <c r="Q24" s="9" t="s">
        <v>79</v>
      </c>
      <c r="R24" s="3"/>
      <c r="S24" s="3"/>
      <c r="T24" s="3"/>
      <c r="U24" s="3"/>
      <c r="V24" s="3"/>
    </row>
    <row r="25" customFormat="false" ht="34.5" hidden="false" customHeight="true" outlineLevel="0" collapsed="false">
      <c r="A25" s="8" t="s">
        <v>940</v>
      </c>
      <c r="B25" s="8" t="s">
        <v>952</v>
      </c>
      <c r="C25" s="9" t="s">
        <v>953</v>
      </c>
      <c r="D25" s="9" t="s">
        <v>954</v>
      </c>
      <c r="E25" s="9" t="s">
        <v>955</v>
      </c>
      <c r="F25" s="9" t="s">
        <v>72</v>
      </c>
      <c r="G25" s="9" t="s">
        <v>956</v>
      </c>
      <c r="H25" s="9"/>
      <c r="I25" s="9" t="s">
        <v>957</v>
      </c>
      <c r="J25" s="9" t="s">
        <v>958</v>
      </c>
      <c r="K25" s="9" t="s">
        <v>958</v>
      </c>
      <c r="L25" s="8" t="s">
        <v>88</v>
      </c>
      <c r="M25" s="9" t="s">
        <v>959</v>
      </c>
      <c r="N25" s="9" t="s">
        <v>78</v>
      </c>
      <c r="O25" s="9" t="s">
        <v>10</v>
      </c>
      <c r="P25" s="8" t="s">
        <v>1279</v>
      </c>
      <c r="Q25" s="9" t="s">
        <v>79</v>
      </c>
      <c r="R25" s="3"/>
      <c r="S25" s="3"/>
      <c r="T25" s="3"/>
      <c r="U25" s="3"/>
      <c r="V25" s="3"/>
    </row>
    <row r="26" customFormat="false" ht="34.5" hidden="false" customHeight="true" outlineLevel="0" collapsed="false">
      <c r="A26" s="8" t="s">
        <v>960</v>
      </c>
      <c r="B26" s="8" t="s">
        <v>961</v>
      </c>
      <c r="C26" s="9" t="s">
        <v>1047</v>
      </c>
      <c r="D26" s="9" t="s">
        <v>1048</v>
      </c>
      <c r="E26" s="9" t="s">
        <v>1049</v>
      </c>
      <c r="F26" s="9" t="s">
        <v>1050</v>
      </c>
      <c r="G26" s="9" t="s">
        <v>1051</v>
      </c>
      <c r="H26" s="9" t="s">
        <v>1052</v>
      </c>
      <c r="I26" s="9" t="s">
        <v>1053</v>
      </c>
      <c r="J26" s="9" t="s">
        <v>1054</v>
      </c>
      <c r="K26" s="9" t="s">
        <v>1054</v>
      </c>
      <c r="L26" s="8" t="s">
        <v>53</v>
      </c>
      <c r="M26" s="9" t="s">
        <v>1055</v>
      </c>
      <c r="N26" s="9" t="s">
        <v>78</v>
      </c>
      <c r="O26" s="9" t="s">
        <v>10</v>
      </c>
      <c r="P26" s="8" t="s">
        <v>1279</v>
      </c>
      <c r="Q26" s="9" t="s">
        <v>79</v>
      </c>
      <c r="R26" s="3"/>
      <c r="S26" s="3"/>
      <c r="T26" s="3"/>
      <c r="U26" s="3"/>
      <c r="V26" s="3"/>
    </row>
    <row r="27" customFormat="false" ht="34.5" hidden="false" customHeight="true" outlineLevel="0" collapsed="false">
      <c r="A27" s="8" t="s">
        <v>1056</v>
      </c>
      <c r="B27" s="8" t="s">
        <v>1057</v>
      </c>
      <c r="C27" s="9" t="s">
        <v>1117</v>
      </c>
      <c r="D27" s="9" t="s">
        <v>1118</v>
      </c>
      <c r="E27" s="9" t="s">
        <v>1119</v>
      </c>
      <c r="F27" s="9" t="s">
        <v>1120</v>
      </c>
      <c r="G27" s="9" t="s">
        <v>1121</v>
      </c>
      <c r="H27" s="9" t="s">
        <v>1122</v>
      </c>
      <c r="I27" s="9" t="s">
        <v>1123</v>
      </c>
      <c r="J27" s="9" t="s">
        <v>1124</v>
      </c>
      <c r="K27" s="9" t="s">
        <v>1124</v>
      </c>
      <c r="L27" s="8" t="s">
        <v>53</v>
      </c>
      <c r="M27" s="9" t="s">
        <v>1125</v>
      </c>
      <c r="N27" s="9" t="s">
        <v>78</v>
      </c>
      <c r="O27" s="9" t="s">
        <v>8</v>
      </c>
      <c r="P27" s="8" t="s">
        <v>1279</v>
      </c>
      <c r="Q27" s="9" t="s">
        <v>79</v>
      </c>
      <c r="R27" s="3"/>
      <c r="S27" s="3"/>
      <c r="T27" s="3"/>
      <c r="U27" s="3"/>
      <c r="V27" s="3"/>
    </row>
    <row r="28" customFormat="false" ht="34.5" hidden="false" customHeight="true" outlineLevel="0" collapsed="false">
      <c r="A28" s="8" t="s">
        <v>1126</v>
      </c>
      <c r="B28" s="8" t="s">
        <v>1127</v>
      </c>
      <c r="C28" s="9" t="s">
        <v>1136</v>
      </c>
      <c r="D28" s="9" t="s">
        <v>94</v>
      </c>
      <c r="E28" s="9" t="s">
        <v>1137</v>
      </c>
      <c r="F28" s="9" t="s">
        <v>72</v>
      </c>
      <c r="G28" s="9" t="s">
        <v>1138</v>
      </c>
      <c r="H28" s="9"/>
      <c r="I28" s="9" t="s">
        <v>1139</v>
      </c>
      <c r="J28" s="9" t="s">
        <v>1140</v>
      </c>
      <c r="K28" s="9" t="s">
        <v>1140</v>
      </c>
      <c r="L28" s="8" t="s">
        <v>88</v>
      </c>
      <c r="M28" s="9" t="s">
        <v>99</v>
      </c>
      <c r="N28" s="9" t="s">
        <v>78</v>
      </c>
      <c r="O28" s="9" t="s">
        <v>10</v>
      </c>
      <c r="P28" s="8" t="s">
        <v>1279</v>
      </c>
      <c r="Q28" s="9" t="s">
        <v>79</v>
      </c>
      <c r="R28" s="3"/>
      <c r="S28" s="3"/>
      <c r="T28" s="3"/>
      <c r="U28" s="3"/>
      <c r="V28" s="3"/>
    </row>
    <row r="29" customFormat="false" ht="34.5" hidden="false" customHeight="true" outlineLevel="0" collapsed="false">
      <c r="A29" s="8" t="s">
        <v>1141</v>
      </c>
      <c r="B29" s="8" t="s">
        <v>1193</v>
      </c>
      <c r="C29" s="9" t="s">
        <v>1194</v>
      </c>
      <c r="D29" s="9" t="s">
        <v>94</v>
      </c>
      <c r="E29" s="9" t="s">
        <v>1195</v>
      </c>
      <c r="F29" s="9" t="s">
        <v>72</v>
      </c>
      <c r="G29" s="9" t="s">
        <v>1196</v>
      </c>
      <c r="H29" s="9"/>
      <c r="I29" s="9" t="s">
        <v>1197</v>
      </c>
      <c r="J29" s="9" t="s">
        <v>1198</v>
      </c>
      <c r="K29" s="9" t="s">
        <v>1198</v>
      </c>
      <c r="L29" s="8" t="s">
        <v>53</v>
      </c>
      <c r="M29" s="9" t="s">
        <v>99</v>
      </c>
      <c r="N29" s="9" t="s">
        <v>78</v>
      </c>
      <c r="O29" s="9" t="s">
        <v>10</v>
      </c>
      <c r="P29" s="8" t="s">
        <v>1279</v>
      </c>
      <c r="Q29" s="9" t="s">
        <v>79</v>
      </c>
      <c r="R29" s="3"/>
      <c r="S29" s="3"/>
      <c r="T29" s="3"/>
      <c r="U29" s="3"/>
      <c r="V29" s="3"/>
    </row>
    <row r="30" customFormat="false" ht="34.5" hidden="false" customHeight="true" outlineLevel="0" collapsed="false">
      <c r="A30" s="8" t="s">
        <v>1199</v>
      </c>
      <c r="B30" s="8" t="s">
        <v>1220</v>
      </c>
      <c r="C30" s="9" t="s">
        <v>1233</v>
      </c>
      <c r="D30" s="9" t="s">
        <v>94</v>
      </c>
      <c r="E30" s="9" t="s">
        <v>1234</v>
      </c>
      <c r="F30" s="9" t="s">
        <v>72</v>
      </c>
      <c r="G30" s="9" t="s">
        <v>1235</v>
      </c>
      <c r="H30" s="9"/>
      <c r="I30" s="9" t="s">
        <v>1236</v>
      </c>
      <c r="J30" s="9" t="s">
        <v>1237</v>
      </c>
      <c r="K30" s="9" t="s">
        <v>1237</v>
      </c>
      <c r="L30" s="8" t="s">
        <v>88</v>
      </c>
      <c r="M30" s="9" t="s">
        <v>99</v>
      </c>
      <c r="N30" s="9" t="s">
        <v>78</v>
      </c>
      <c r="O30" s="9" t="s">
        <v>10</v>
      </c>
      <c r="P30" s="8" t="s">
        <v>1279</v>
      </c>
      <c r="Q30" s="9" t="s">
        <v>79</v>
      </c>
      <c r="R30" s="3"/>
      <c r="S30" s="3"/>
      <c r="T30" s="3"/>
      <c r="U30" s="3"/>
      <c r="V30" s="3"/>
    </row>
    <row r="31" customFormat="false" ht="34.5" hidden="false" customHeight="true" outlineLevel="0" collapsed="false">
      <c r="A31" s="8" t="s">
        <v>1238</v>
      </c>
      <c r="B31" s="8" t="s">
        <v>1239</v>
      </c>
      <c r="C31" s="9" t="s">
        <v>1274</v>
      </c>
      <c r="D31" s="9" t="s">
        <v>94</v>
      </c>
      <c r="E31" s="9" t="s">
        <v>1275</v>
      </c>
      <c r="F31" s="9" t="s">
        <v>72</v>
      </c>
      <c r="G31" s="9" t="s">
        <v>1276</v>
      </c>
      <c r="H31" s="9"/>
      <c r="I31" s="9" t="s">
        <v>1277</v>
      </c>
      <c r="J31" s="9" t="s">
        <v>1278</v>
      </c>
      <c r="K31" s="9" t="s">
        <v>1278</v>
      </c>
      <c r="L31" s="8" t="s">
        <v>88</v>
      </c>
      <c r="M31" s="9" t="s">
        <v>99</v>
      </c>
      <c r="N31" s="9" t="s">
        <v>78</v>
      </c>
      <c r="O31" s="9" t="s">
        <v>10</v>
      </c>
      <c r="P31" s="8" t="s">
        <v>1279</v>
      </c>
      <c r="Q31" s="9" t="s">
        <v>79</v>
      </c>
      <c r="R31" s="3"/>
      <c r="S31" s="3"/>
      <c r="T31" s="3"/>
      <c r="U31" s="3"/>
      <c r="V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customFormat="false" ht="1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customFormat="false" ht="1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customFormat="false" ht="1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customFormat="false" ht="1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customFormat="false" ht="1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customFormat="false" ht="1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customFormat="false" ht="1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customFormat="false" ht="1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customFormat="false" ht="1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customFormat="false" ht="1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customFormat="false" ht="1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customFormat="false" ht="1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customFormat="false" ht="1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customFormat="false" ht="1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customFormat="false" ht="1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customFormat="false" ht="1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customFormat="false" ht="1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customFormat="false" ht="1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customFormat="false" ht="1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customFormat="false" ht="1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customFormat="false" ht="1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customFormat="false" ht="1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customFormat="false" ht="1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customFormat="false" ht="1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customFormat="false" ht="1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customFormat="false" ht="1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customFormat="false" ht="1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customFormat="false" ht="1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customFormat="false" ht="1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customFormat="false" ht="1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customFormat="false" ht="1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customFormat="false" ht="1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customFormat="false" ht="1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customFormat="false" ht="1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customFormat="false" ht="1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customFormat="false" ht="1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customFormat="false" ht="1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customFormat="false" ht="1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customFormat="false" ht="1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customFormat="false" ht="1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customFormat="false" ht="1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customFormat="false" ht="1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customFormat="false" ht="1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customFormat="false" ht="1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customFormat="false" ht="1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customFormat="false" ht="1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customFormat="false" ht="1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customFormat="false" ht="1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customFormat="false" ht="1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customFormat="false" ht="1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customFormat="false" ht="1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customFormat="false" ht="1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customFormat="false" ht="1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customFormat="false" ht="1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customFormat="false" ht="1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customFormat="false" ht="1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customFormat="false" ht="1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customFormat="false" ht="1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customFormat="false" ht="1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customFormat="false" ht="1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customFormat="false" ht="1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customFormat="false" ht="1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customFormat="false" ht="1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customFormat="false" ht="1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customFormat="false" ht="1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customFormat="false" ht="1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customFormat="false" ht="1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customFormat="false" ht="1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customFormat="false" ht="1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customFormat="false" ht="1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customFormat="false" ht="1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customFormat="false" ht="1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customFormat="false" ht="1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customFormat="false" ht="1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customFormat="false" ht="1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customFormat="false" ht="1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customFormat="false" ht="1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customFormat="false" ht="1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customFormat="false" ht="1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customFormat="false" ht="1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customFormat="false" ht="1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customFormat="false" ht="1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customFormat="false" ht="1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customFormat="false" ht="1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customFormat="false" ht="1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customFormat="false" ht="1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customFormat="false" ht="1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customFormat="false" ht="1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customFormat="false" ht="1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customFormat="false" ht="1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customFormat="false" ht="1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customFormat="false" ht="1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</sheetData>
  <conditionalFormatting sqref="L2:L31">
    <cfRule type="expression" priority="2" aboveAverage="0" equalAverage="0" bottom="0" percent="0" rank="0" text="" dxfId="8">
      <formula>L2="A"</formula>
    </cfRule>
    <cfRule type="expression" priority="3" aboveAverage="0" equalAverage="0" bottom="0" percent="0" rank="0" text="" dxfId="9">
      <formula>L2="B"</formula>
    </cfRule>
    <cfRule type="expression" priority="4" aboveAverage="0" equalAverage="0" bottom="0" percent="0" rank="0" text="" dxfId="10">
      <formula>L2="C"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8" min="2" style="1" width="16"/>
  </cols>
  <sheetData>
    <row r="1" customFormat="false" ht="15" hidden="false" customHeight="true" outlineLevel="0" collapsed="false">
      <c r="A1" s="6" t="s">
        <v>24</v>
      </c>
      <c r="B1" s="6" t="s">
        <v>1281</v>
      </c>
      <c r="C1" s="6" t="s">
        <v>1282</v>
      </c>
      <c r="D1" s="6" t="s">
        <v>11</v>
      </c>
      <c r="E1" s="6" t="s">
        <v>1283</v>
      </c>
      <c r="F1" s="6" t="s">
        <v>1284</v>
      </c>
      <c r="G1" s="6" t="s">
        <v>1285</v>
      </c>
      <c r="H1" s="6" t="s">
        <v>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customFormat="false" ht="15" hidden="false" customHeight="true" outlineLevel="0" collapsed="false">
      <c r="A2" s="3" t="s">
        <v>44</v>
      </c>
      <c r="B2" s="3" t="n">
        <f aca="false">COUNTIF('Master Mail List'!$B$2:$B$131,$A2)</f>
        <v>3</v>
      </c>
      <c r="C2" s="3" t="n">
        <f aca="false">COUNTIFS('Master Mail List'!$B$2:$B$131,$A2,'Master Mail List'!$D$2:$D$131,"Engineering / Technology University")</f>
        <v>1</v>
      </c>
      <c r="D2" s="3" t="n">
        <f aca="false">COUNTIFS('Master Mail List'!$B$2:$B$131,$A2,'Master Mail List'!$D$2:$D$131,"B-School")</f>
        <v>1</v>
      </c>
      <c r="E2" s="3" t="n">
        <f aca="false">COUNTIFS('Master Mail List'!$B$2:$B$131,$A2,'Master Mail List'!$D$2:$D$131,"Accelerator / Incubator")</f>
        <v>0</v>
      </c>
      <c r="F2" s="3" t="n">
        <f aca="false">COUNTIFS('Master Mail List'!$B$2:$B$131,$A2,'Master Mail List'!$D$2:$D$131,"State / UT Government Startup Mission")</f>
        <v>1</v>
      </c>
      <c r="G2" s="3" t="n">
        <f aca="false">COUNTIFS('Master Mail List'!$B$2:$B$131,$A2,'Master Mail List'!$I$2:$I$131,"&lt;&gt;")</f>
        <v>3</v>
      </c>
      <c r="H2" s="3" t="n">
        <f aca="false">COUNTIFS('Master Mail List'!$B$2:$B$131,$A2,'Master Mail List'!$N$2:$N$131,"A")</f>
        <v>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customFormat="false" ht="15" hidden="false" customHeight="true" outlineLevel="0" collapsed="false">
      <c r="A3" s="3" t="s">
        <v>80</v>
      </c>
      <c r="B3" s="3" t="n">
        <f aca="false">COUNTIF('Master Mail List'!$B$2:$B$131,$A3)</f>
        <v>2</v>
      </c>
      <c r="C3" s="3" t="n">
        <f aca="false">COUNTIFS('Master Mail List'!$B$2:$B$131,$A3,'Master Mail List'!$D$2:$D$131,"Engineering / Technology University")</f>
        <v>1</v>
      </c>
      <c r="D3" s="3" t="n">
        <f aca="false">COUNTIFS('Master Mail List'!$B$2:$B$131,$A3,'Master Mail List'!$D$2:$D$131,"B-School")</f>
        <v>0</v>
      </c>
      <c r="E3" s="3" t="n">
        <f aca="false">COUNTIFS('Master Mail List'!$B$2:$B$131,$A3,'Master Mail List'!$D$2:$D$131,"Accelerator / Incubator")</f>
        <v>0</v>
      </c>
      <c r="F3" s="3" t="n">
        <f aca="false">COUNTIFS('Master Mail List'!$B$2:$B$131,$A3,'Master Mail List'!$D$2:$D$131,"State / UT Government Startup Mission")</f>
        <v>1</v>
      </c>
      <c r="G3" s="3" t="n">
        <f aca="false">COUNTIFS('Master Mail List'!$B$2:$B$131,$A3,'Master Mail List'!$I$2:$I$131,"&lt;&gt;")</f>
        <v>2</v>
      </c>
      <c r="H3" s="3" t="n">
        <f aca="false">COUNTIFS('Master Mail List'!$B$2:$B$131,$A3,'Master Mail List'!$N$2:$N$131,"A")</f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customFormat="false" ht="15" hidden="false" customHeight="true" outlineLevel="0" collapsed="false">
      <c r="A4" s="3" t="s">
        <v>100</v>
      </c>
      <c r="B4" s="3" t="n">
        <f aca="false">COUNTIF('Master Mail List'!$B$2:$B$131,$A4)</f>
        <v>3</v>
      </c>
      <c r="C4" s="3" t="n">
        <f aca="false">COUNTIFS('Master Mail List'!$B$2:$B$131,$A4,'Master Mail List'!$D$2:$D$131,"Engineering / Technology University")</f>
        <v>1</v>
      </c>
      <c r="D4" s="3" t="n">
        <f aca="false">COUNTIFS('Master Mail List'!$B$2:$B$131,$A4,'Master Mail List'!$D$2:$D$131,"B-School")</f>
        <v>0</v>
      </c>
      <c r="E4" s="3" t="n">
        <f aca="false">COUNTIFS('Master Mail List'!$B$2:$B$131,$A4,'Master Mail List'!$D$2:$D$131,"Accelerator / Incubator")</f>
        <v>1</v>
      </c>
      <c r="F4" s="3" t="n">
        <f aca="false">COUNTIFS('Master Mail List'!$B$2:$B$131,$A4,'Master Mail List'!$D$2:$D$131,"State / UT Government Startup Mission")</f>
        <v>1</v>
      </c>
      <c r="G4" s="3" t="n">
        <f aca="false">COUNTIFS('Master Mail List'!$B$2:$B$131,$A4,'Master Mail List'!$I$2:$I$131,"&lt;&gt;")</f>
        <v>3</v>
      </c>
      <c r="H4" s="3" t="n">
        <f aca="false">COUNTIFS('Master Mail List'!$B$2:$B$131,$A4,'Master Mail List'!$N$2:$N$131,"A")</f>
        <v>2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customFormat="false" ht="15" hidden="false" customHeight="true" outlineLevel="0" collapsed="false">
      <c r="A5" s="3" t="s">
        <v>132</v>
      </c>
      <c r="B5" s="3" t="n">
        <f aca="false">COUNTIF('Master Mail List'!$B$2:$B$131,$A5)</f>
        <v>4</v>
      </c>
      <c r="C5" s="3" t="n">
        <f aca="false">COUNTIFS('Master Mail List'!$B$2:$B$131,$A5,'Master Mail List'!$D$2:$D$131,"Engineering / Technology University")</f>
        <v>2</v>
      </c>
      <c r="D5" s="3" t="n">
        <f aca="false">COUNTIFS('Master Mail List'!$B$2:$B$131,$A5,'Master Mail List'!$D$2:$D$131,"B-School")</f>
        <v>0</v>
      </c>
      <c r="E5" s="3" t="n">
        <f aca="false">COUNTIFS('Master Mail List'!$B$2:$B$131,$A5,'Master Mail List'!$D$2:$D$131,"Accelerator / Incubator")</f>
        <v>1</v>
      </c>
      <c r="F5" s="3" t="n">
        <f aca="false">COUNTIFS('Master Mail List'!$B$2:$B$131,$A5,'Master Mail List'!$D$2:$D$131,"State / UT Government Startup Mission")</f>
        <v>1</v>
      </c>
      <c r="G5" s="3" t="n">
        <f aca="false">COUNTIFS('Master Mail List'!$B$2:$B$131,$A5,'Master Mail List'!$I$2:$I$131,"&lt;&gt;")</f>
        <v>4</v>
      </c>
      <c r="H5" s="3" t="n">
        <f aca="false">COUNTIFS('Master Mail List'!$B$2:$B$131,$A5,'Master Mail List'!$N$2:$N$131,"A")</f>
        <v>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customFormat="false" ht="15" hidden="false" customHeight="true" outlineLevel="0" collapsed="false">
      <c r="A6" s="3" t="s">
        <v>170</v>
      </c>
      <c r="B6" s="3" t="n">
        <f aca="false">COUNTIF('Master Mail List'!$B$2:$B$131,$A6)</f>
        <v>4</v>
      </c>
      <c r="C6" s="3" t="n">
        <f aca="false">COUNTIFS('Master Mail List'!$B$2:$B$131,$A6,'Master Mail List'!$D$2:$D$131,"Engineering / Technology University")</f>
        <v>3</v>
      </c>
      <c r="D6" s="3" t="n">
        <f aca="false">COUNTIFS('Master Mail List'!$B$2:$B$131,$A6,'Master Mail List'!$D$2:$D$131,"B-School")</f>
        <v>0</v>
      </c>
      <c r="E6" s="3" t="n">
        <f aca="false">COUNTIFS('Master Mail List'!$B$2:$B$131,$A6,'Master Mail List'!$D$2:$D$131,"Accelerator / Incubator")</f>
        <v>0</v>
      </c>
      <c r="F6" s="3" t="n">
        <f aca="false">COUNTIFS('Master Mail List'!$B$2:$B$131,$A6,'Master Mail List'!$D$2:$D$131,"State / UT Government Startup Mission")</f>
        <v>1</v>
      </c>
      <c r="G6" s="3" t="n">
        <f aca="false">COUNTIFS('Master Mail List'!$B$2:$B$131,$A6,'Master Mail List'!$I$2:$I$131,"&lt;&gt;")</f>
        <v>4</v>
      </c>
      <c r="H6" s="3" t="n">
        <f aca="false">COUNTIFS('Master Mail List'!$B$2:$B$131,$A6,'Master Mail List'!$N$2:$N$131,"A")</f>
        <v>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customFormat="false" ht="15" hidden="false" customHeight="true" outlineLevel="0" collapsed="false">
      <c r="A7" s="3" t="s">
        <v>206</v>
      </c>
      <c r="B7" s="3" t="n">
        <f aca="false">COUNTIF('Master Mail List'!$B$2:$B$131,$A7)</f>
        <v>3</v>
      </c>
      <c r="C7" s="3" t="n">
        <f aca="false">COUNTIFS('Master Mail List'!$B$2:$B$131,$A7,'Master Mail List'!$D$2:$D$131,"Engineering / Technology University")</f>
        <v>3</v>
      </c>
      <c r="D7" s="3" t="n">
        <f aca="false">COUNTIFS('Master Mail List'!$B$2:$B$131,$A7,'Master Mail List'!$D$2:$D$131,"B-School")</f>
        <v>0</v>
      </c>
      <c r="E7" s="3" t="n">
        <f aca="false">COUNTIFS('Master Mail List'!$B$2:$B$131,$A7,'Master Mail List'!$D$2:$D$131,"Accelerator / Incubator")</f>
        <v>0</v>
      </c>
      <c r="F7" s="3" t="n">
        <f aca="false">COUNTIFS('Master Mail List'!$B$2:$B$131,$A7,'Master Mail List'!$D$2:$D$131,"State / UT Government Startup Mission")</f>
        <v>0</v>
      </c>
      <c r="G7" s="3" t="n">
        <f aca="false">COUNTIFS('Master Mail List'!$B$2:$B$131,$A7,'Master Mail List'!$I$2:$I$131,"&lt;&gt;")</f>
        <v>3</v>
      </c>
      <c r="H7" s="3" t="n">
        <f aca="false">COUNTIFS('Master Mail List'!$B$2:$B$131,$A7,'Master Mail List'!$N$2:$N$131,"A")</f>
        <v>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customFormat="false" ht="15" hidden="false" customHeight="true" outlineLevel="0" collapsed="false">
      <c r="A8" s="3" t="s">
        <v>236</v>
      </c>
      <c r="B8" s="3" t="n">
        <f aca="false">COUNTIF('Master Mail List'!$B$2:$B$131,$A8)</f>
        <v>3</v>
      </c>
      <c r="C8" s="3" t="n">
        <f aca="false">COUNTIFS('Master Mail List'!$B$2:$B$131,$A8,'Master Mail List'!$D$2:$D$131,"Engineering / Technology University")</f>
        <v>1</v>
      </c>
      <c r="D8" s="3" t="n">
        <f aca="false">COUNTIFS('Master Mail List'!$B$2:$B$131,$A8,'Master Mail List'!$D$2:$D$131,"B-School")</f>
        <v>1</v>
      </c>
      <c r="E8" s="3" t="n">
        <f aca="false">COUNTIFS('Master Mail List'!$B$2:$B$131,$A8,'Master Mail List'!$D$2:$D$131,"Accelerator / Incubator")</f>
        <v>0</v>
      </c>
      <c r="F8" s="3" t="n">
        <f aca="false">COUNTIFS('Master Mail List'!$B$2:$B$131,$A8,'Master Mail List'!$D$2:$D$131,"State / UT Government Startup Mission")</f>
        <v>1</v>
      </c>
      <c r="G8" s="3" t="n">
        <f aca="false">COUNTIFS('Master Mail List'!$B$2:$B$131,$A8,'Master Mail List'!$I$2:$I$131,"&lt;&gt;")</f>
        <v>3</v>
      </c>
      <c r="H8" s="3" t="n">
        <f aca="false">COUNTIFS('Master Mail List'!$B$2:$B$131,$A8,'Master Mail List'!$N$2:$N$131,"A")</f>
        <v>2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customFormat="false" ht="15" hidden="false" customHeight="true" outlineLevel="0" collapsed="false">
      <c r="A9" s="3" t="s">
        <v>267</v>
      </c>
      <c r="B9" s="3" t="n">
        <f aca="false">COUNTIF('Master Mail List'!$B$2:$B$131,$A9)</f>
        <v>5</v>
      </c>
      <c r="C9" s="3" t="n">
        <f aca="false">COUNTIFS('Master Mail List'!$B$2:$B$131,$A9,'Master Mail List'!$D$2:$D$131,"Engineering / Technology University")</f>
        <v>1</v>
      </c>
      <c r="D9" s="3" t="n">
        <f aca="false">COUNTIFS('Master Mail List'!$B$2:$B$131,$A9,'Master Mail List'!$D$2:$D$131,"B-School")</f>
        <v>1</v>
      </c>
      <c r="E9" s="3" t="n">
        <f aca="false">COUNTIFS('Master Mail List'!$B$2:$B$131,$A9,'Master Mail List'!$D$2:$D$131,"Accelerator / Incubator")</f>
        <v>2</v>
      </c>
      <c r="F9" s="3" t="n">
        <f aca="false">COUNTIFS('Master Mail List'!$B$2:$B$131,$A9,'Master Mail List'!$D$2:$D$131,"State / UT Government Startup Mission")</f>
        <v>1</v>
      </c>
      <c r="G9" s="3" t="n">
        <f aca="false">COUNTIFS('Master Mail List'!$B$2:$B$131,$A9,'Master Mail List'!$I$2:$I$131,"&lt;&gt;")</f>
        <v>5</v>
      </c>
      <c r="H9" s="3" t="n">
        <f aca="false">COUNTIFS('Master Mail List'!$B$2:$B$131,$A9,'Master Mail List'!$N$2:$N$131,"A")</f>
        <v>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customFormat="false" ht="15" hidden="false" customHeight="true" outlineLevel="0" collapsed="false">
      <c r="A10" s="3" t="s">
        <v>317</v>
      </c>
      <c r="B10" s="3" t="n">
        <f aca="false">COUNTIF('Master Mail List'!$B$2:$B$131,$A10)</f>
        <v>4</v>
      </c>
      <c r="C10" s="3" t="n">
        <f aca="false">COUNTIFS('Master Mail List'!$B$2:$B$131,$A10,'Master Mail List'!$D$2:$D$131,"Engineering / Technology University")</f>
        <v>0</v>
      </c>
      <c r="D10" s="3" t="n">
        <f aca="false">COUNTIFS('Master Mail List'!$B$2:$B$131,$A10,'Master Mail List'!$D$2:$D$131,"B-School")</f>
        <v>1</v>
      </c>
      <c r="E10" s="3" t="n">
        <f aca="false">COUNTIFS('Master Mail List'!$B$2:$B$131,$A10,'Master Mail List'!$D$2:$D$131,"Accelerator / Incubator")</f>
        <v>2</v>
      </c>
      <c r="F10" s="3" t="n">
        <f aca="false">COUNTIFS('Master Mail List'!$B$2:$B$131,$A10,'Master Mail List'!$D$2:$D$131,"State / UT Government Startup Mission")</f>
        <v>1</v>
      </c>
      <c r="G10" s="3" t="n">
        <f aca="false">COUNTIFS('Master Mail List'!$B$2:$B$131,$A10,'Master Mail List'!$I$2:$I$131,"&lt;&gt;")</f>
        <v>4</v>
      </c>
      <c r="H10" s="3" t="n">
        <f aca="false">COUNTIFS('Master Mail List'!$B$2:$B$131,$A10,'Master Mail List'!$N$2:$N$131,"A")</f>
        <v>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customFormat="false" ht="15" hidden="false" customHeight="true" outlineLevel="0" collapsed="false">
      <c r="A11" s="3" t="s">
        <v>356</v>
      </c>
      <c r="B11" s="3" t="n">
        <f aca="false">COUNTIF('Master Mail List'!$B$2:$B$131,$A11)</f>
        <v>2</v>
      </c>
      <c r="C11" s="3" t="n">
        <f aca="false">COUNTIFS('Master Mail List'!$B$2:$B$131,$A11,'Master Mail List'!$D$2:$D$131,"Engineering / Technology University")</f>
        <v>1</v>
      </c>
      <c r="D11" s="3" t="n">
        <f aca="false">COUNTIFS('Master Mail List'!$B$2:$B$131,$A11,'Master Mail List'!$D$2:$D$131,"B-School")</f>
        <v>0</v>
      </c>
      <c r="E11" s="3" t="n">
        <f aca="false">COUNTIFS('Master Mail List'!$B$2:$B$131,$A11,'Master Mail List'!$D$2:$D$131,"Accelerator / Incubator")</f>
        <v>0</v>
      </c>
      <c r="F11" s="3" t="n">
        <f aca="false">COUNTIFS('Master Mail List'!$B$2:$B$131,$A11,'Master Mail List'!$D$2:$D$131,"State / UT Government Startup Mission")</f>
        <v>1</v>
      </c>
      <c r="G11" s="3" t="n">
        <f aca="false">COUNTIFS('Master Mail List'!$B$2:$B$131,$A11,'Master Mail List'!$I$2:$I$131,"&lt;&gt;")</f>
        <v>2</v>
      </c>
      <c r="H11" s="3" t="n">
        <f aca="false">COUNTIFS('Master Mail List'!$B$2:$B$131,$A11,'Master Mail List'!$N$2:$N$131,"A")</f>
        <v>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customFormat="false" ht="15" hidden="false" customHeight="true" outlineLevel="0" collapsed="false">
      <c r="A12" s="3" t="s">
        <v>375</v>
      </c>
      <c r="B12" s="3" t="n">
        <f aca="false">COUNTIF('Master Mail List'!$B$2:$B$131,$A12)</f>
        <v>6</v>
      </c>
      <c r="C12" s="3" t="n">
        <f aca="false">COUNTIFS('Master Mail List'!$B$2:$B$131,$A12,'Master Mail List'!$D$2:$D$131,"Engineering / Technology University")</f>
        <v>2</v>
      </c>
      <c r="D12" s="3" t="n">
        <f aca="false">COUNTIFS('Master Mail List'!$B$2:$B$131,$A12,'Master Mail List'!$D$2:$D$131,"B-School")</f>
        <v>1</v>
      </c>
      <c r="E12" s="3" t="n">
        <f aca="false">COUNTIFS('Master Mail List'!$B$2:$B$131,$A12,'Master Mail List'!$D$2:$D$131,"Accelerator / Incubator")</f>
        <v>2</v>
      </c>
      <c r="F12" s="3" t="n">
        <f aca="false">COUNTIFS('Master Mail List'!$B$2:$B$131,$A12,'Master Mail List'!$D$2:$D$131,"State / UT Government Startup Mission")</f>
        <v>1</v>
      </c>
      <c r="G12" s="3" t="n">
        <f aca="false">COUNTIFS('Master Mail List'!$B$2:$B$131,$A12,'Master Mail List'!$I$2:$I$131,"&lt;&gt;")</f>
        <v>6</v>
      </c>
      <c r="H12" s="3" t="n">
        <f aca="false">COUNTIFS('Master Mail List'!$B$2:$B$131,$A12,'Master Mail List'!$N$2:$N$131,"A")</f>
        <v>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customFormat="false" ht="15" hidden="false" customHeight="true" outlineLevel="0" collapsed="false">
      <c r="A13" s="3" t="s">
        <v>438</v>
      </c>
      <c r="B13" s="3" t="n">
        <f aca="false">COUNTIF('Master Mail List'!$B$2:$B$131,$A13)</f>
        <v>3</v>
      </c>
      <c r="C13" s="3" t="n">
        <f aca="false">COUNTIFS('Master Mail List'!$B$2:$B$131,$A13,'Master Mail List'!$D$2:$D$131,"Engineering / Technology University")</f>
        <v>1</v>
      </c>
      <c r="D13" s="3" t="n">
        <f aca="false">COUNTIFS('Master Mail List'!$B$2:$B$131,$A13,'Master Mail List'!$D$2:$D$131,"B-School")</f>
        <v>1</v>
      </c>
      <c r="E13" s="3" t="n">
        <f aca="false">COUNTIFS('Master Mail List'!$B$2:$B$131,$A13,'Master Mail List'!$D$2:$D$131,"Accelerator / Incubator")</f>
        <v>0</v>
      </c>
      <c r="F13" s="3" t="n">
        <f aca="false">COUNTIFS('Master Mail List'!$B$2:$B$131,$A13,'Master Mail List'!$D$2:$D$131,"State / UT Government Startup Mission")</f>
        <v>1</v>
      </c>
      <c r="G13" s="3" t="n">
        <f aca="false">COUNTIFS('Master Mail List'!$B$2:$B$131,$A13,'Master Mail List'!$I$2:$I$131,"&lt;&gt;")</f>
        <v>3</v>
      </c>
      <c r="H13" s="3" t="n">
        <f aca="false">COUNTIFS('Master Mail List'!$B$2:$B$131,$A13,'Master Mail List'!$N$2:$N$131,"A")</f>
        <v>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customFormat="false" ht="15" hidden="false" customHeight="true" outlineLevel="0" collapsed="false">
      <c r="A14" s="3" t="s">
        <v>463</v>
      </c>
      <c r="B14" s="3" t="n">
        <f aca="false">COUNTIF('Master Mail List'!$B$2:$B$131,$A14)</f>
        <v>10</v>
      </c>
      <c r="C14" s="3" t="n">
        <f aca="false">COUNTIFS('Master Mail List'!$B$2:$B$131,$A14,'Master Mail List'!$D$2:$D$131,"Engineering / Technology University")</f>
        <v>3</v>
      </c>
      <c r="D14" s="3" t="n">
        <f aca="false">COUNTIFS('Master Mail List'!$B$2:$B$131,$A14,'Master Mail List'!$D$2:$D$131,"B-School")</f>
        <v>1</v>
      </c>
      <c r="E14" s="3" t="n">
        <f aca="false">COUNTIFS('Master Mail List'!$B$2:$B$131,$A14,'Master Mail List'!$D$2:$D$131,"Accelerator / Incubator")</f>
        <v>5</v>
      </c>
      <c r="F14" s="3" t="n">
        <f aca="false">COUNTIFS('Master Mail List'!$B$2:$B$131,$A14,'Master Mail List'!$D$2:$D$131,"State / UT Government Startup Mission")</f>
        <v>1</v>
      </c>
      <c r="G14" s="3" t="n">
        <f aca="false">COUNTIFS('Master Mail List'!$B$2:$B$131,$A14,'Master Mail List'!$I$2:$I$131,"&lt;&gt;")</f>
        <v>9</v>
      </c>
      <c r="H14" s="3" t="n">
        <f aca="false">COUNTIFS('Master Mail List'!$B$2:$B$131,$A14,'Master Mail List'!$N$2:$N$131,"A")</f>
        <v>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customFormat="false" ht="15" hidden="false" customHeight="true" outlineLevel="0" collapsed="false">
      <c r="A15" s="3" t="s">
        <v>555</v>
      </c>
      <c r="B15" s="3" t="n">
        <f aca="false">COUNTIF('Master Mail List'!$B$2:$B$131,$A15)</f>
        <v>6</v>
      </c>
      <c r="C15" s="3" t="n">
        <f aca="false">COUNTIFS('Master Mail List'!$B$2:$B$131,$A15,'Master Mail List'!$D$2:$D$131,"Engineering / Technology University")</f>
        <v>4</v>
      </c>
      <c r="D15" s="3" t="n">
        <f aca="false">COUNTIFS('Master Mail List'!$B$2:$B$131,$A15,'Master Mail List'!$D$2:$D$131,"B-School")</f>
        <v>1</v>
      </c>
      <c r="E15" s="3" t="n">
        <f aca="false">COUNTIFS('Master Mail List'!$B$2:$B$131,$A15,'Master Mail List'!$D$2:$D$131,"Accelerator / Incubator")</f>
        <v>0</v>
      </c>
      <c r="F15" s="3" t="n">
        <f aca="false">COUNTIFS('Master Mail List'!$B$2:$B$131,$A15,'Master Mail List'!$D$2:$D$131,"State / UT Government Startup Mission")</f>
        <v>1</v>
      </c>
      <c r="G15" s="3" t="n">
        <f aca="false">COUNTIFS('Master Mail List'!$B$2:$B$131,$A15,'Master Mail List'!$I$2:$I$131,"&lt;&gt;")</f>
        <v>6</v>
      </c>
      <c r="H15" s="3" t="n">
        <f aca="false">COUNTIFS('Master Mail List'!$B$2:$B$131,$A15,'Master Mail List'!$N$2:$N$131,"A")</f>
        <v>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customFormat="false" ht="15" hidden="false" customHeight="true" outlineLevel="0" collapsed="false">
      <c r="A16" s="3" t="s">
        <v>618</v>
      </c>
      <c r="B16" s="3" t="n">
        <f aca="false">COUNTIF('Master Mail List'!$B$2:$B$131,$A16)</f>
        <v>3</v>
      </c>
      <c r="C16" s="3" t="n">
        <f aca="false">COUNTIFS('Master Mail List'!$B$2:$B$131,$A16,'Master Mail List'!$D$2:$D$131,"Engineering / Technology University")</f>
        <v>0</v>
      </c>
      <c r="D16" s="3" t="n">
        <f aca="false">COUNTIFS('Master Mail List'!$B$2:$B$131,$A16,'Master Mail List'!$D$2:$D$131,"B-School")</f>
        <v>1</v>
      </c>
      <c r="E16" s="3" t="n">
        <f aca="false">COUNTIFS('Master Mail List'!$B$2:$B$131,$A16,'Master Mail List'!$D$2:$D$131,"Accelerator / Incubator")</f>
        <v>1</v>
      </c>
      <c r="F16" s="3" t="n">
        <f aca="false">COUNTIFS('Master Mail List'!$B$2:$B$131,$A16,'Master Mail List'!$D$2:$D$131,"State / UT Government Startup Mission")</f>
        <v>1</v>
      </c>
      <c r="G16" s="3" t="n">
        <f aca="false">COUNTIFS('Master Mail List'!$B$2:$B$131,$A16,'Master Mail List'!$I$2:$I$131,"&lt;&gt;")</f>
        <v>3</v>
      </c>
      <c r="H16" s="3" t="n">
        <f aca="false">COUNTIFS('Master Mail List'!$B$2:$B$131,$A16,'Master Mail List'!$N$2:$N$131,"A")</f>
        <v>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customFormat="false" ht="15" hidden="false" customHeight="true" outlineLevel="0" collapsed="false">
      <c r="A17" s="3" t="s">
        <v>641</v>
      </c>
      <c r="B17" s="3" t="n">
        <f aca="false">COUNTIF('Master Mail List'!$B$2:$B$131,$A17)</f>
        <v>7</v>
      </c>
      <c r="C17" s="3" t="n">
        <f aca="false">COUNTIFS('Master Mail List'!$B$2:$B$131,$A17,'Master Mail List'!$D$2:$D$131,"Engineering / Technology University")</f>
        <v>3</v>
      </c>
      <c r="D17" s="3" t="n">
        <f aca="false">COUNTIFS('Master Mail List'!$B$2:$B$131,$A17,'Master Mail List'!$D$2:$D$131,"B-School")</f>
        <v>1</v>
      </c>
      <c r="E17" s="3" t="n">
        <f aca="false">COUNTIFS('Master Mail List'!$B$2:$B$131,$A17,'Master Mail List'!$D$2:$D$131,"Accelerator / Incubator")</f>
        <v>2</v>
      </c>
      <c r="F17" s="3" t="n">
        <f aca="false">COUNTIFS('Master Mail List'!$B$2:$B$131,$A17,'Master Mail List'!$D$2:$D$131,"State / UT Government Startup Mission")</f>
        <v>1</v>
      </c>
      <c r="G17" s="3" t="n">
        <f aca="false">COUNTIFS('Master Mail List'!$B$2:$B$131,$A17,'Master Mail List'!$I$2:$I$131,"&lt;&gt;")</f>
        <v>7</v>
      </c>
      <c r="H17" s="3" t="n">
        <f aca="false">COUNTIFS('Master Mail List'!$B$2:$B$131,$A17,'Master Mail List'!$N$2:$N$131,"A")</f>
        <v>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customFormat="false" ht="15" hidden="false" customHeight="true" outlineLevel="0" collapsed="false">
      <c r="A18" s="3" t="s">
        <v>707</v>
      </c>
      <c r="B18" s="3" t="n">
        <f aca="false">COUNTIF('Master Mail List'!$B$2:$B$131,$A18)</f>
        <v>2</v>
      </c>
      <c r="C18" s="3" t="n">
        <f aca="false">COUNTIFS('Master Mail List'!$B$2:$B$131,$A18,'Master Mail List'!$D$2:$D$131,"Engineering / Technology University")</f>
        <v>0</v>
      </c>
      <c r="D18" s="3" t="n">
        <f aca="false">COUNTIFS('Master Mail List'!$B$2:$B$131,$A18,'Master Mail List'!$D$2:$D$131,"B-School")</f>
        <v>0</v>
      </c>
      <c r="E18" s="3" t="n">
        <f aca="false">COUNTIFS('Master Mail List'!$B$2:$B$131,$A18,'Master Mail List'!$D$2:$D$131,"Accelerator / Incubator")</f>
        <v>1</v>
      </c>
      <c r="F18" s="3" t="n">
        <f aca="false">COUNTIFS('Master Mail List'!$B$2:$B$131,$A18,'Master Mail List'!$D$2:$D$131,"State / UT Government Startup Mission")</f>
        <v>1</v>
      </c>
      <c r="G18" s="3" t="n">
        <f aca="false">COUNTIFS('Master Mail List'!$B$2:$B$131,$A18,'Master Mail List'!$I$2:$I$131,"&lt;&gt;")</f>
        <v>2</v>
      </c>
      <c r="H18" s="3" t="n">
        <f aca="false">COUNTIFS('Master Mail List'!$B$2:$B$131,$A18,'Master Mail List'!$N$2:$N$131,"A")</f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customFormat="false" ht="15" hidden="false" customHeight="true" outlineLevel="0" collapsed="false">
      <c r="A19" s="3" t="s">
        <v>725</v>
      </c>
      <c r="B19" s="3" t="n">
        <f aca="false">COUNTIF('Master Mail List'!$B$2:$B$131,$A19)</f>
        <v>2</v>
      </c>
      <c r="C19" s="3" t="n">
        <f aca="false">COUNTIFS('Master Mail List'!$B$2:$B$131,$A19,'Master Mail List'!$D$2:$D$131,"Engineering / Technology University")</f>
        <v>0</v>
      </c>
      <c r="D19" s="3" t="n">
        <f aca="false">COUNTIFS('Master Mail List'!$B$2:$B$131,$A19,'Master Mail List'!$D$2:$D$131,"B-School")</f>
        <v>1</v>
      </c>
      <c r="E19" s="3" t="n">
        <f aca="false">COUNTIFS('Master Mail List'!$B$2:$B$131,$A19,'Master Mail List'!$D$2:$D$131,"Accelerator / Incubator")</f>
        <v>0</v>
      </c>
      <c r="F19" s="3" t="n">
        <f aca="false">COUNTIFS('Master Mail List'!$B$2:$B$131,$A19,'Master Mail List'!$D$2:$D$131,"State / UT Government Startup Mission")</f>
        <v>1</v>
      </c>
      <c r="G19" s="3" t="n">
        <f aca="false">COUNTIFS('Master Mail List'!$B$2:$B$131,$A19,'Master Mail List'!$I$2:$I$131,"&lt;&gt;")</f>
        <v>2</v>
      </c>
      <c r="H19" s="3" t="n">
        <f aca="false">COUNTIFS('Master Mail List'!$B$2:$B$131,$A19,'Master Mail List'!$N$2:$N$131,"A")</f>
        <v>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customFormat="false" ht="15" hidden="false" customHeight="true" outlineLevel="0" collapsed="false">
      <c r="A20" s="3" t="s">
        <v>747</v>
      </c>
      <c r="B20" s="3" t="n">
        <f aca="false">COUNTIF('Master Mail List'!$B$2:$B$131,$A20)</f>
        <v>2</v>
      </c>
      <c r="C20" s="3" t="n">
        <f aca="false">COUNTIFS('Master Mail List'!$B$2:$B$131,$A20,'Master Mail List'!$D$2:$D$131,"Engineering / Technology University")</f>
        <v>0</v>
      </c>
      <c r="D20" s="3" t="n">
        <f aca="false">COUNTIFS('Master Mail List'!$B$2:$B$131,$A20,'Master Mail List'!$D$2:$D$131,"B-School")</f>
        <v>0</v>
      </c>
      <c r="E20" s="3" t="n">
        <f aca="false">COUNTIFS('Master Mail List'!$B$2:$B$131,$A20,'Master Mail List'!$D$2:$D$131,"Accelerator / Incubator")</f>
        <v>1</v>
      </c>
      <c r="F20" s="3" t="n">
        <f aca="false">COUNTIFS('Master Mail List'!$B$2:$B$131,$A20,'Master Mail List'!$D$2:$D$131,"State / UT Government Startup Mission")</f>
        <v>1</v>
      </c>
      <c r="G20" s="3" t="n">
        <f aca="false">COUNTIFS('Master Mail List'!$B$2:$B$131,$A20,'Master Mail List'!$I$2:$I$131,"&lt;&gt;")</f>
        <v>2</v>
      </c>
      <c r="H20" s="3" t="n">
        <f aca="false">COUNTIFS('Master Mail List'!$B$2:$B$131,$A20,'Master Mail List'!$N$2:$N$131,"A")</f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customFormat="false" ht="15" hidden="false" customHeight="true" outlineLevel="0" collapsed="false">
      <c r="A21" s="3" t="s">
        <v>762</v>
      </c>
      <c r="B21" s="3" t="n">
        <f aca="false">COUNTIF('Master Mail List'!$B$2:$B$131,$A21)</f>
        <v>2</v>
      </c>
      <c r="C21" s="3" t="n">
        <f aca="false">COUNTIFS('Master Mail List'!$B$2:$B$131,$A21,'Master Mail List'!$D$2:$D$131,"Engineering / Technology University")</f>
        <v>0</v>
      </c>
      <c r="D21" s="3" t="n">
        <f aca="false">COUNTIFS('Master Mail List'!$B$2:$B$131,$A21,'Master Mail List'!$D$2:$D$131,"B-School")</f>
        <v>0</v>
      </c>
      <c r="E21" s="3" t="n">
        <f aca="false">COUNTIFS('Master Mail List'!$B$2:$B$131,$A21,'Master Mail List'!$D$2:$D$131,"Accelerator / Incubator")</f>
        <v>1</v>
      </c>
      <c r="F21" s="3" t="n">
        <f aca="false">COUNTIFS('Master Mail List'!$B$2:$B$131,$A21,'Master Mail List'!$D$2:$D$131,"State / UT Government Startup Mission")</f>
        <v>1</v>
      </c>
      <c r="G21" s="3" t="n">
        <f aca="false">COUNTIFS('Master Mail List'!$B$2:$B$131,$A21,'Master Mail List'!$I$2:$I$131,"&lt;&gt;")</f>
        <v>1</v>
      </c>
      <c r="H21" s="3" t="n">
        <f aca="false">COUNTIFS('Master Mail List'!$B$2:$B$131,$A21,'Master Mail List'!$N$2:$N$131,"A")</f>
        <v>1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customFormat="false" ht="15" hidden="false" customHeight="true" outlineLevel="0" collapsed="false">
      <c r="A22" s="3" t="s">
        <v>777</v>
      </c>
      <c r="B22" s="3" t="n">
        <f aca="false">COUNTIF('Master Mail List'!$B$2:$B$131,$A22)</f>
        <v>5</v>
      </c>
      <c r="C22" s="3" t="n">
        <f aca="false">COUNTIFS('Master Mail List'!$B$2:$B$131,$A22,'Master Mail List'!$D$2:$D$131,"Engineering / Technology University")</f>
        <v>3</v>
      </c>
      <c r="D22" s="3" t="n">
        <f aca="false">COUNTIFS('Master Mail List'!$B$2:$B$131,$A22,'Master Mail List'!$D$2:$D$131,"B-School")</f>
        <v>1</v>
      </c>
      <c r="E22" s="3" t="n">
        <f aca="false">COUNTIFS('Master Mail List'!$B$2:$B$131,$A22,'Master Mail List'!$D$2:$D$131,"Accelerator / Incubator")</f>
        <v>0</v>
      </c>
      <c r="F22" s="3" t="n">
        <f aca="false">COUNTIFS('Master Mail List'!$B$2:$B$131,$A22,'Master Mail List'!$D$2:$D$131,"State / UT Government Startup Mission")</f>
        <v>1</v>
      </c>
      <c r="G22" s="3" t="n">
        <f aca="false">COUNTIFS('Master Mail List'!$B$2:$B$131,$A22,'Master Mail List'!$I$2:$I$131,"&lt;&gt;")</f>
        <v>5</v>
      </c>
      <c r="H22" s="3" t="n">
        <f aca="false">COUNTIFS('Master Mail List'!$B$2:$B$131,$A22,'Master Mail List'!$N$2:$N$131,"A")</f>
        <v>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customFormat="false" ht="15" hidden="false" customHeight="true" outlineLevel="0" collapsed="false">
      <c r="A23" s="3" t="s">
        <v>830</v>
      </c>
      <c r="B23" s="3" t="n">
        <f aca="false">COUNTIF('Master Mail List'!$B$2:$B$131,$A23)</f>
        <v>3</v>
      </c>
      <c r="C23" s="3" t="n">
        <f aca="false">COUNTIFS('Master Mail List'!$B$2:$B$131,$A23,'Master Mail List'!$D$2:$D$131,"Engineering / Technology University")</f>
        <v>0</v>
      </c>
      <c r="D23" s="3" t="n">
        <f aca="false">COUNTIFS('Master Mail List'!$B$2:$B$131,$A23,'Master Mail List'!$D$2:$D$131,"B-School")</f>
        <v>0</v>
      </c>
      <c r="E23" s="3" t="n">
        <f aca="false">COUNTIFS('Master Mail List'!$B$2:$B$131,$A23,'Master Mail List'!$D$2:$D$131,"Accelerator / Incubator")</f>
        <v>2</v>
      </c>
      <c r="F23" s="3" t="n">
        <f aca="false">COUNTIFS('Master Mail List'!$B$2:$B$131,$A23,'Master Mail List'!$D$2:$D$131,"State / UT Government Startup Mission")</f>
        <v>1</v>
      </c>
      <c r="G23" s="3" t="n">
        <f aca="false">COUNTIFS('Master Mail List'!$B$2:$B$131,$A23,'Master Mail List'!$I$2:$I$131,"&lt;&gt;")</f>
        <v>2</v>
      </c>
      <c r="H23" s="3" t="n">
        <f aca="false">COUNTIFS('Master Mail List'!$B$2:$B$131,$A23,'Master Mail List'!$N$2:$N$131,"A")</f>
        <v>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customFormat="false" ht="15" hidden="false" customHeight="true" outlineLevel="0" collapsed="false">
      <c r="A24" s="3" t="s">
        <v>854</v>
      </c>
      <c r="B24" s="3" t="n">
        <f aca="false">COUNTIF('Master Mail List'!$B$2:$B$131,$A24)</f>
        <v>4</v>
      </c>
      <c r="C24" s="3" t="n">
        <f aca="false">COUNTIFS('Master Mail List'!$B$2:$B$131,$A24,'Master Mail List'!$D$2:$D$131,"Engineering / Technology University")</f>
        <v>2</v>
      </c>
      <c r="D24" s="3" t="n">
        <f aca="false">COUNTIFS('Master Mail List'!$B$2:$B$131,$A24,'Master Mail List'!$D$2:$D$131,"B-School")</f>
        <v>0</v>
      </c>
      <c r="E24" s="3" t="n">
        <f aca="false">COUNTIFS('Master Mail List'!$B$2:$B$131,$A24,'Master Mail List'!$D$2:$D$131,"Accelerator / Incubator")</f>
        <v>1</v>
      </c>
      <c r="F24" s="3" t="n">
        <f aca="false">COUNTIFS('Master Mail List'!$B$2:$B$131,$A24,'Master Mail List'!$D$2:$D$131,"State / UT Government Startup Mission")</f>
        <v>1</v>
      </c>
      <c r="G24" s="3" t="n">
        <f aca="false">COUNTIFS('Master Mail List'!$B$2:$B$131,$A24,'Master Mail List'!$I$2:$I$131,"&lt;&gt;")</f>
        <v>4</v>
      </c>
      <c r="H24" s="3" t="n">
        <f aca="false">COUNTIFS('Master Mail List'!$B$2:$B$131,$A24,'Master Mail List'!$N$2:$N$131,"A")</f>
        <v>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customFormat="false" ht="15" hidden="false" customHeight="true" outlineLevel="0" collapsed="false">
      <c r="A25" s="3" t="s">
        <v>892</v>
      </c>
      <c r="B25" s="3" t="n">
        <f aca="false">COUNTIF('Master Mail List'!$B$2:$B$131,$A25)</f>
        <v>5</v>
      </c>
      <c r="C25" s="3" t="n">
        <f aca="false">COUNTIFS('Master Mail List'!$B$2:$B$131,$A25,'Master Mail List'!$D$2:$D$131,"Engineering / Technology University")</f>
        <v>2</v>
      </c>
      <c r="D25" s="3" t="n">
        <f aca="false">COUNTIFS('Master Mail List'!$B$2:$B$131,$A25,'Master Mail List'!$D$2:$D$131,"B-School")</f>
        <v>1</v>
      </c>
      <c r="E25" s="3" t="n">
        <f aca="false">COUNTIFS('Master Mail List'!$B$2:$B$131,$A25,'Master Mail List'!$D$2:$D$131,"Accelerator / Incubator")</f>
        <v>1</v>
      </c>
      <c r="F25" s="3" t="n">
        <f aca="false">COUNTIFS('Master Mail List'!$B$2:$B$131,$A25,'Master Mail List'!$D$2:$D$131,"State / UT Government Startup Mission")</f>
        <v>1</v>
      </c>
      <c r="G25" s="3" t="n">
        <f aca="false">COUNTIFS('Master Mail List'!$B$2:$B$131,$A25,'Master Mail List'!$I$2:$I$131,"&lt;&gt;")</f>
        <v>5</v>
      </c>
      <c r="H25" s="3" t="n">
        <f aca="false">COUNTIFS('Master Mail List'!$B$2:$B$131,$A25,'Master Mail List'!$N$2:$N$131,"A")</f>
        <v>4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customFormat="false" ht="15" hidden="false" customHeight="true" outlineLevel="0" collapsed="false">
      <c r="A26" s="3" t="s">
        <v>940</v>
      </c>
      <c r="B26" s="3" t="n">
        <f aca="false">COUNTIF('Master Mail List'!$B$2:$B$131,$A26)</f>
        <v>2</v>
      </c>
      <c r="C26" s="3" t="n">
        <f aca="false">COUNTIFS('Master Mail List'!$B$2:$B$131,$A26,'Master Mail List'!$D$2:$D$131,"Engineering / Technology University")</f>
        <v>1</v>
      </c>
      <c r="D26" s="3" t="n">
        <f aca="false">COUNTIFS('Master Mail List'!$B$2:$B$131,$A26,'Master Mail List'!$D$2:$D$131,"B-School")</f>
        <v>0</v>
      </c>
      <c r="E26" s="3" t="n">
        <f aca="false">COUNTIFS('Master Mail List'!$B$2:$B$131,$A26,'Master Mail List'!$D$2:$D$131,"Accelerator / Incubator")</f>
        <v>0</v>
      </c>
      <c r="F26" s="3" t="n">
        <f aca="false">COUNTIFS('Master Mail List'!$B$2:$B$131,$A26,'Master Mail List'!$D$2:$D$131,"State / UT Government Startup Mission")</f>
        <v>1</v>
      </c>
      <c r="G26" s="3" t="n">
        <f aca="false">COUNTIFS('Master Mail List'!$B$2:$B$131,$A26,'Master Mail List'!$I$2:$I$131,"&lt;&gt;")</f>
        <v>2</v>
      </c>
      <c r="H26" s="3" t="n">
        <f aca="false">COUNTIFS('Master Mail List'!$B$2:$B$131,$A26,'Master Mail List'!$N$2:$N$131,"A")</f>
        <v>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customFormat="false" ht="15" hidden="false" customHeight="true" outlineLevel="0" collapsed="false">
      <c r="A27" s="3" t="s">
        <v>960</v>
      </c>
      <c r="B27" s="3" t="n">
        <f aca="false">COUNTIF('Master Mail List'!$B$2:$B$131,$A27)</f>
        <v>10</v>
      </c>
      <c r="C27" s="3" t="n">
        <f aca="false">COUNTIFS('Master Mail List'!$B$2:$B$131,$A27,'Master Mail List'!$D$2:$D$131,"Engineering / Technology University")</f>
        <v>5</v>
      </c>
      <c r="D27" s="3" t="n">
        <f aca="false">COUNTIFS('Master Mail List'!$B$2:$B$131,$A27,'Master Mail List'!$D$2:$D$131,"B-School")</f>
        <v>1</v>
      </c>
      <c r="E27" s="3" t="n">
        <f aca="false">COUNTIFS('Master Mail List'!$B$2:$B$131,$A27,'Master Mail List'!$D$2:$D$131,"Accelerator / Incubator")</f>
        <v>3</v>
      </c>
      <c r="F27" s="3" t="n">
        <f aca="false">COUNTIFS('Master Mail List'!$B$2:$B$131,$A27,'Master Mail List'!$D$2:$D$131,"State / UT Government Startup Mission")</f>
        <v>1</v>
      </c>
      <c r="G27" s="3" t="n">
        <f aca="false">COUNTIFS('Master Mail List'!$B$2:$B$131,$A27,'Master Mail List'!$I$2:$I$131,"&lt;&gt;")</f>
        <v>10</v>
      </c>
      <c r="H27" s="3" t="n">
        <f aca="false">COUNTIFS('Master Mail List'!$B$2:$B$131,$A27,'Master Mail List'!$N$2:$N$131,"A")</f>
        <v>9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customFormat="false" ht="15" hidden="false" customHeight="true" outlineLevel="0" collapsed="false">
      <c r="A28" s="3" t="s">
        <v>1056</v>
      </c>
      <c r="B28" s="3" t="n">
        <f aca="false">COUNTIF('Master Mail List'!$B$2:$B$131,$A28)</f>
        <v>8</v>
      </c>
      <c r="C28" s="3" t="n">
        <f aca="false">COUNTIFS('Master Mail List'!$B$2:$B$131,$A28,'Master Mail List'!$D$2:$D$131,"Engineering / Technology University")</f>
        <v>2</v>
      </c>
      <c r="D28" s="3" t="n">
        <f aca="false">COUNTIFS('Master Mail List'!$B$2:$B$131,$A28,'Master Mail List'!$D$2:$D$131,"B-School")</f>
        <v>1</v>
      </c>
      <c r="E28" s="3" t="n">
        <f aca="false">COUNTIFS('Master Mail List'!$B$2:$B$131,$A28,'Master Mail List'!$D$2:$D$131,"Accelerator / Incubator")</f>
        <v>4</v>
      </c>
      <c r="F28" s="3" t="n">
        <f aca="false">COUNTIFS('Master Mail List'!$B$2:$B$131,$A28,'Master Mail List'!$D$2:$D$131,"State / UT Government Startup Mission")</f>
        <v>1</v>
      </c>
      <c r="G28" s="3" t="n">
        <f aca="false">COUNTIFS('Master Mail List'!$B$2:$B$131,$A28,'Master Mail List'!$I$2:$I$131,"&lt;&gt;")</f>
        <v>8</v>
      </c>
      <c r="H28" s="3" t="n">
        <f aca="false">COUNTIFS('Master Mail List'!$B$2:$B$131,$A28,'Master Mail List'!$N$2:$N$131,"A")</f>
        <v>6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customFormat="false" ht="15" hidden="false" customHeight="true" outlineLevel="0" collapsed="false">
      <c r="A29" s="3" t="s">
        <v>1126</v>
      </c>
      <c r="B29" s="3" t="n">
        <f aca="false">COUNTIF('Master Mail List'!$B$2:$B$131,$A29)</f>
        <v>2</v>
      </c>
      <c r="C29" s="3" t="n">
        <f aca="false">COUNTIFS('Master Mail List'!$B$2:$B$131,$A29,'Master Mail List'!$D$2:$D$131,"Engineering / Technology University")</f>
        <v>0</v>
      </c>
      <c r="D29" s="3" t="n">
        <f aca="false">COUNTIFS('Master Mail List'!$B$2:$B$131,$A29,'Master Mail List'!$D$2:$D$131,"B-School")</f>
        <v>0</v>
      </c>
      <c r="E29" s="3" t="n">
        <f aca="false">COUNTIFS('Master Mail List'!$B$2:$B$131,$A29,'Master Mail List'!$D$2:$D$131,"Accelerator / Incubator")</f>
        <v>1</v>
      </c>
      <c r="F29" s="3" t="n">
        <f aca="false">COUNTIFS('Master Mail List'!$B$2:$B$131,$A29,'Master Mail List'!$D$2:$D$131,"State / UT Government Startup Mission")</f>
        <v>1</v>
      </c>
      <c r="G29" s="3" t="n">
        <f aca="false">COUNTIFS('Master Mail List'!$B$2:$B$131,$A29,'Master Mail List'!$I$2:$I$131,"&lt;&gt;")</f>
        <v>1</v>
      </c>
      <c r="H29" s="3" t="n">
        <f aca="false">COUNTIFS('Master Mail List'!$B$2:$B$131,$A29,'Master Mail List'!$N$2:$N$131,"A")</f>
        <v>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customFormat="false" ht="15" hidden="false" customHeight="true" outlineLevel="0" collapsed="false">
      <c r="A30" s="3" t="s">
        <v>1141</v>
      </c>
      <c r="B30" s="3" t="n">
        <f aca="false">COUNTIF('Master Mail List'!$B$2:$B$131,$A30)</f>
        <v>6</v>
      </c>
      <c r="C30" s="3" t="n">
        <f aca="false">COUNTIFS('Master Mail List'!$B$2:$B$131,$A30,'Master Mail List'!$D$2:$D$131,"Engineering / Technology University")</f>
        <v>2</v>
      </c>
      <c r="D30" s="3" t="n">
        <f aca="false">COUNTIFS('Master Mail List'!$B$2:$B$131,$A30,'Master Mail List'!$D$2:$D$131,"B-School")</f>
        <v>1</v>
      </c>
      <c r="E30" s="3" t="n">
        <f aca="false">COUNTIFS('Master Mail List'!$B$2:$B$131,$A30,'Master Mail List'!$D$2:$D$131,"Accelerator / Incubator")</f>
        <v>2</v>
      </c>
      <c r="F30" s="3" t="n">
        <f aca="false">COUNTIFS('Master Mail List'!$B$2:$B$131,$A30,'Master Mail List'!$D$2:$D$131,"State / UT Government Startup Mission")</f>
        <v>1</v>
      </c>
      <c r="G30" s="3" t="n">
        <f aca="false">COUNTIFS('Master Mail List'!$B$2:$B$131,$A30,'Master Mail List'!$I$2:$I$131,"&lt;&gt;")</f>
        <v>6</v>
      </c>
      <c r="H30" s="3" t="n">
        <f aca="false">COUNTIFS('Master Mail List'!$B$2:$B$131,$A30,'Master Mail List'!$N$2:$N$131,"A")</f>
        <v>5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customFormat="false" ht="15" hidden="false" customHeight="true" outlineLevel="0" collapsed="false">
      <c r="A31" s="3" t="s">
        <v>1199</v>
      </c>
      <c r="B31" s="3" t="n">
        <f aca="false">COUNTIF('Master Mail List'!$B$2:$B$131,$A31)</f>
        <v>4</v>
      </c>
      <c r="C31" s="3" t="n">
        <f aca="false">COUNTIFS('Master Mail List'!$B$2:$B$131,$A31,'Master Mail List'!$D$2:$D$131,"Engineering / Technology University")</f>
        <v>2</v>
      </c>
      <c r="D31" s="3" t="n">
        <f aca="false">COUNTIFS('Master Mail List'!$B$2:$B$131,$A31,'Master Mail List'!$D$2:$D$131,"B-School")</f>
        <v>1</v>
      </c>
      <c r="E31" s="3" t="n">
        <f aca="false">COUNTIFS('Master Mail List'!$B$2:$B$131,$A31,'Master Mail List'!$D$2:$D$131,"Accelerator / Incubator")</f>
        <v>0</v>
      </c>
      <c r="F31" s="3" t="n">
        <f aca="false">COUNTIFS('Master Mail List'!$B$2:$B$131,$A31,'Master Mail List'!$D$2:$D$131,"State / UT Government Startup Mission")</f>
        <v>1</v>
      </c>
      <c r="G31" s="3" t="n">
        <f aca="false">COUNTIFS('Master Mail List'!$B$2:$B$131,$A31,'Master Mail List'!$I$2:$I$131,"&lt;&gt;")</f>
        <v>4</v>
      </c>
      <c r="H31" s="3" t="n">
        <f aca="false">COUNTIFS('Master Mail List'!$B$2:$B$131,$A31,'Master Mail List'!$N$2:$N$131,"A")</f>
        <v>3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customFormat="false" ht="15" hidden="false" customHeight="true" outlineLevel="0" collapsed="false">
      <c r="A32" s="3" t="s">
        <v>1238</v>
      </c>
      <c r="B32" s="3" t="n">
        <f aca="false">COUNTIF('Master Mail List'!$B$2:$B$131,$A32)</f>
        <v>5</v>
      </c>
      <c r="C32" s="3" t="n">
        <f aca="false">COUNTIFS('Master Mail List'!$B$2:$B$131,$A32,'Master Mail List'!$D$2:$D$131,"Engineering / Technology University")</f>
        <v>3</v>
      </c>
      <c r="D32" s="3" t="n">
        <f aca="false">COUNTIFS('Master Mail List'!$B$2:$B$131,$A32,'Master Mail List'!$D$2:$D$131,"B-School")</f>
        <v>1</v>
      </c>
      <c r="E32" s="3" t="n">
        <f aca="false">COUNTIFS('Master Mail List'!$B$2:$B$131,$A32,'Master Mail List'!$D$2:$D$131,"Accelerator / Incubator")</f>
        <v>0</v>
      </c>
      <c r="F32" s="3" t="n">
        <f aca="false">COUNTIFS('Master Mail List'!$B$2:$B$131,$A32,'Master Mail List'!$D$2:$D$131,"State / UT Government Startup Mission")</f>
        <v>1</v>
      </c>
      <c r="G32" s="3" t="n">
        <f aca="false">COUNTIFS('Master Mail List'!$B$2:$B$131,$A32,'Master Mail List'!$I$2:$I$131,"&lt;&gt;")</f>
        <v>5</v>
      </c>
      <c r="H32" s="3" t="n">
        <f aca="false">COUNTIFS('Master Mail List'!$B$2:$B$131,$A32,'Master Mail List'!$N$2:$N$131,"A")</f>
        <v>3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customFormat="false" ht="1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customFormat="false" ht="1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customFormat="false" ht="1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customFormat="false" ht="1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customFormat="false" ht="1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customFormat="false" ht="1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customFormat="false" ht="1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customFormat="false" ht="1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customFormat="false" ht="1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customFormat="false" ht="1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customFormat="false" ht="1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customFormat="false" ht="1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customFormat="false" ht="1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customFormat="false" ht="1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customFormat="false" ht="1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customFormat="false" ht="1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customFormat="false" ht="1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customFormat="false" ht="1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customFormat="false" ht="1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customFormat="false" ht="1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customFormat="false" ht="1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customFormat="false" ht="1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customFormat="false" ht="1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customFormat="false" ht="1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customFormat="false" ht="1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customFormat="false" ht="1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customFormat="false" ht="1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customFormat="false" ht="1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customFormat="false" ht="1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customFormat="false" ht="1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customFormat="false" ht="1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customFormat="false" ht="1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customFormat="false" ht="1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customFormat="false" ht="1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customFormat="false" ht="1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customFormat="false" ht="1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customFormat="false" ht="1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customFormat="false" ht="1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customFormat="false" ht="1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customFormat="false" ht="1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customFormat="false" ht="1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customFormat="false" ht="1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customFormat="false" ht="1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customFormat="false" ht="1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customFormat="false" ht="1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customFormat="false" ht="1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customFormat="false" ht="1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customFormat="false" ht="1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customFormat="false" ht="1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customFormat="false" ht="1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customFormat="false" ht="1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customFormat="false" ht="1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customFormat="false" ht="1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customFormat="false" ht="1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customFormat="false" ht="1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customFormat="false" ht="1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customFormat="false" ht="1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customFormat="false" ht="1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customFormat="false" ht="1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customFormat="false" ht="1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customFormat="false" ht="1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customFormat="false" ht="1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customFormat="false" ht="1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customFormat="false" ht="1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customFormat="false" ht="1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customFormat="false" ht="1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customFormat="false" ht="1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customFormat="false" ht="1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customFormat="false" ht="1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customFormat="false" ht="1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customFormat="false" ht="1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customFormat="false" ht="1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customFormat="false" ht="1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customFormat="false" ht="1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customFormat="false" ht="1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customFormat="false" ht="1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customFormat="false" ht="1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customFormat="false" ht="1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customFormat="false" ht="1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customFormat="false" ht="1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customFormat="false" ht="1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customFormat="false" ht="1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customFormat="false" ht="1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customFormat="false" ht="1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customFormat="false" ht="1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customFormat="false" ht="1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customFormat="false" ht="1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customFormat="false" ht="1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customFormat="false" ht="1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customFormat="false" ht="1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customFormat="false" ht="1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customFormat="false" ht="1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0"/>
  </cols>
  <sheetData>
    <row r="1" customFormat="false" ht="30" hidden="false" customHeight="true" outlineLevel="0" collapsed="false">
      <c r="A1" s="11" t="s">
        <v>1286</v>
      </c>
      <c r="B1" s="11"/>
      <c r="C1" s="11"/>
      <c r="D1" s="11"/>
      <c r="E1" s="11"/>
      <c r="F1" s="1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customFormat="false" ht="15" hidden="false" customHeight="true" outlineLevel="0" collapsed="false">
      <c r="A3" s="12" t="s">
        <v>1287</v>
      </c>
      <c r="B3" s="12" t="s">
        <v>1288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customFormat="false" ht="15" hidden="false" customHeight="true" outlineLevel="0" collapsed="false">
      <c r="A4" s="13" t="s">
        <v>1289</v>
      </c>
      <c r="B4" s="13" t="s">
        <v>1290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customFormat="false" ht="15" hidden="false" customHeight="true" outlineLevel="0" collapsed="false">
      <c r="A5" s="13" t="s">
        <v>1291</v>
      </c>
      <c r="B5" s="13" t="s">
        <v>1292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customFormat="false" ht="23.25" hidden="false" customHeight="true" outlineLevel="0" collapsed="false">
      <c r="A6" s="13" t="s">
        <v>1293</v>
      </c>
      <c r="B6" s="13" t="s">
        <v>1294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customFormat="false" ht="34.5" hidden="false" customHeight="true" outlineLevel="0" collapsed="false">
      <c r="A7" s="13" t="s">
        <v>1295</v>
      </c>
      <c r="B7" s="13" t="s">
        <v>1296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customFormat="false" ht="23.25" hidden="false" customHeight="true" outlineLevel="0" collapsed="false">
      <c r="A8" s="13" t="s">
        <v>3</v>
      </c>
      <c r="B8" s="13" t="s">
        <v>1297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customFormat="false" ht="23.25" hidden="false" customHeight="true" outlineLevel="0" collapsed="false">
      <c r="A9" s="13" t="s">
        <v>1298</v>
      </c>
      <c r="B9" s="13" t="s">
        <v>1299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customFormat="false" ht="45.75" hidden="false" customHeight="true" outlineLevel="0" collapsed="false">
      <c r="A10" s="13" t="s">
        <v>1300</v>
      </c>
      <c r="B10" s="13" t="s">
        <v>1301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customFormat="false" ht="15" hidden="false" customHeight="true" outlineLevel="0" collapsed="false">
      <c r="A11" s="13" t="s">
        <v>1302</v>
      </c>
      <c r="B11" s="13" t="s">
        <v>1303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customFormat="false" ht="15" hidden="false" customHeight="true" outlineLevel="0" collapsed="false">
      <c r="A12" s="13" t="s">
        <v>1304</v>
      </c>
      <c r="B12" s="13" t="s">
        <v>1305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customFormat="false" ht="1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customFormat="false" ht="1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customFormat="false" ht="1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customFormat="false" ht="1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customFormat="false" ht="1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customFormat="false" ht="1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customFormat="false" ht="1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customFormat="false" ht="1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customFormat="false" ht="1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customFormat="false" ht="1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customFormat="false" ht="1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customFormat="false" ht="1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customFormat="false" ht="1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customFormat="false" ht="1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customFormat="false" ht="1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customFormat="false" ht="1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customFormat="false" ht="1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customFormat="false" ht="1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customFormat="false" ht="1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customFormat="false" ht="1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customFormat="false" ht="1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customFormat="false" ht="1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customFormat="false" ht="1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customFormat="false" ht="1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customFormat="false" ht="1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customFormat="false" ht="1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customFormat="false" ht="1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customFormat="false" ht="1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customFormat="false" ht="1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customFormat="false" ht="1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customFormat="false" ht="1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customFormat="false" ht="1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customFormat="false" ht="1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customFormat="false" ht="1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customFormat="false" ht="1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customFormat="false" ht="1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customFormat="false" ht="1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customFormat="false" ht="1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customFormat="false" ht="1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customFormat="false" ht="1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customFormat="false" ht="1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customFormat="false" ht="1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customFormat="false" ht="1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customFormat="false" ht="1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customFormat="false" ht="1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customFormat="false" ht="1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customFormat="false" ht="1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customFormat="false" ht="1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customFormat="false" ht="1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customFormat="false" ht="1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customFormat="false" ht="1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customFormat="false" ht="1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customFormat="false" ht="1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customFormat="false" ht="1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customFormat="false" ht="1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customFormat="false" ht="1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customFormat="false" ht="1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customFormat="false" ht="1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customFormat="false" ht="1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customFormat="false" ht="1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customFormat="false" ht="1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customFormat="false" ht="1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customFormat="false" ht="1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customFormat="false" ht="1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customFormat="false" ht="1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customFormat="false" ht="1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customFormat="false" ht="1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customFormat="false" ht="1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customFormat="false" ht="1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customFormat="false" ht="1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customFormat="false" ht="1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customFormat="false" ht="1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customFormat="false" ht="1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customFormat="false" ht="1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customFormat="false" ht="1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customFormat="false" ht="1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customFormat="false" ht="1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customFormat="false" ht="1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customFormat="false" ht="1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customFormat="false" ht="1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customFormat="false" ht="1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customFormat="false" ht="1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customFormat="false" ht="1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customFormat="false" ht="1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customFormat="false" ht="1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customFormat="false" ht="1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customFormat="false" ht="1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customFormat="false" ht="1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customFormat="false" ht="1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customFormat="false" ht="1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customFormat="false" ht="1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customFormat="false" ht="1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customFormat="false" ht="1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customFormat="false" ht="1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2026-09-26T06:01:37Z</dcterms:created>
  <dc:creator>openpyxl</dc:creator>
  <dc:description/>
  <dc:language>en-US</dc:language>
  <cp:lastModifiedBy/>
  <dcterms:modified xsi:type="dcterms:W3CDTF">2026-09-26T08:11:27Z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