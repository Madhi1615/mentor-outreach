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4.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Master Mail List" sheetId="2" state="visible" r:id="rId4"/>
    <sheet name="Mail Ready" sheetId="3" state="visible" r:id="rId5"/>
    <sheet name="UAE" sheetId="4" state="visible" r:id="rId6"/>
    <sheet name="Saudi Arabia" sheetId="5" state="visible" r:id="rId7"/>
    <sheet name="Oman" sheetId="6" state="visible" r:id="rId8"/>
    <sheet name="Kuwait" sheetId="7" state="visible" r:id="rId9"/>
    <sheet name="Bahrain" sheetId="8" state="visible" r:id="rId10"/>
    <sheet name="Email Template" sheetId="9" state="visible" r:id="rId11"/>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<sst xmlns="http://schemas.openxmlformats.org/spreadsheetml/2006/main" count="3403" uniqueCount="826">
  <si>
    <t xml:space="preserve">Gulf Startup &amp; University Advisor Outreach Database – Madhiyazhagan</t>
  </si>
  <si>
    <t xml:space="preserve">UAE (Dubai focus) • Saudi Arabia • Oman • Kuwait • Bahrain | Curated for external advisor / mentor outreach | 26 Sep 2026</t>
  </si>
  <si>
    <t xml:space="preserve">Database KPI</t>
  </si>
  <si>
    <t xml:space="preserve">Value</t>
  </si>
  <si>
    <t xml:space="preserve">Outreach Readiness</t>
  </si>
  <si>
    <t xml:space="preserve">Total targets</t>
  </si>
  <si>
    <t xml:space="preserve">Named contact + email</t>
  </si>
  <si>
    <t xml:space="preserve">Countries</t>
  </si>
  <si>
    <t xml:space="preserve">Functional / program email</t>
  </si>
  <si>
    <t xml:space="preserve">Primary-email targets</t>
  </si>
  <si>
    <t xml:space="preserve">Official route – no email</t>
  </si>
  <si>
    <t xml:space="preserve">Priority A</t>
  </si>
  <si>
    <t xml:space="preserve">Drafted</t>
  </si>
  <si>
    <t xml:space="preserve">Engineering / Tech Universities</t>
  </si>
  <si>
    <t xml:space="preserve">Sent</t>
  </si>
  <si>
    <t xml:space="preserve">B-School / University Entrepreneurship</t>
  </si>
  <si>
    <t xml:space="preserve">Meetings</t>
  </si>
  <si>
    <t xml:space="preserve">Accelerators / Incubators</t>
  </si>
  <si>
    <t xml:space="preserve">Government / Startup Ecosystem</t>
  </si>
  <si>
    <t xml:space="preserve">Country</t>
  </si>
  <si>
    <t xml:space="preserve">Targets</t>
  </si>
  <si>
    <t xml:space="preserve">Total</t>
  </si>
  <si>
    <t xml:space="preserve">With Email</t>
  </si>
  <si>
    <t xml:space="preserve">UAE</t>
  </si>
  <si>
    <t xml:space="preserve">Saudi Arabia</t>
  </si>
  <si>
    <t xml:space="preserve">Oman</t>
  </si>
  <si>
    <t xml:space="preserve">Kuwait</t>
  </si>
  <si>
    <t xml:space="preserve">Bahrain</t>
  </si>
  <si>
    <t xml:space="preserve">ID</t>
  </si>
  <si>
    <t xml:space="preserve">Region / Emirate / Province</t>
  </si>
  <si>
    <t xml:space="preserve">City</t>
  </si>
  <si>
    <t xml:space="preserve">Category</t>
  </si>
  <si>
    <t xml:space="preserve">Institution / Organisation</t>
  </si>
  <si>
    <t xml:space="preserve">Incubator / Program / Unit</t>
  </si>
  <si>
    <t xml:space="preserve">Organisation Profile / Relevance</t>
  </si>
  <si>
    <t xml:space="preserve">Contact Name</t>
  </si>
  <si>
    <t xml:space="preserve">Contact Role</t>
  </si>
  <si>
    <t xml:space="preserve">Primary Email</t>
  </si>
  <si>
    <t xml:space="preserve">CC / Alternate Email</t>
  </si>
  <si>
    <t xml:space="preserve">Phone</t>
  </si>
  <si>
    <t xml:space="preserve">Contact / Profile URL</t>
  </si>
  <si>
    <t xml:space="preserve">Official Source URL</t>
  </si>
  <si>
    <t xml:space="preserve">Priority</t>
  </si>
  <si>
    <t xml:space="preserve">Why Madhiyazhagan Fits</t>
  </si>
  <si>
    <t xml:space="preserve">Suggested Subject</t>
  </si>
  <si>
    <t xml:space="preserve">Personalization Hook</t>
  </si>
  <si>
    <t xml:space="preserve">Best Entry Route</t>
  </si>
  <si>
    <t xml:space="preserve">Contact Quality</t>
  </si>
  <si>
    <t xml:space="preserve">Verified On</t>
  </si>
  <si>
    <t xml:space="preserve">Email Status</t>
  </si>
  <si>
    <t xml:space="preserve">Last Contacted</t>
  </si>
  <si>
    <t xml:space="preserve">Notes</t>
  </si>
  <si>
    <t xml:space="preserve">Abu Dhabi</t>
  </si>
  <si>
    <t xml:space="preserve">Accelerator / Incubator</t>
  </si>
  <si>
    <t xml:space="preserve">Hub71</t>
  </si>
  <si>
    <t xml:space="preserve">Hub71 startup ecosystem</t>
  </si>
  <si>
    <t xml:space="preserve">Abu Dhabi global tech ecosystem offering startup programs, market access, investor and corporate connections.</t>
  </si>
  <si>
    <t xml:space="preserve">Hub71 Team</t>
  </si>
  <si>
    <t xml:space="preserve">Ecosystem / startup team</t>
  </si>
  <si>
    <t xml:space="preserve">info@hub71.com</t>
  </si>
  <si>
    <t xml:space="preserve">+971 2 449 1515</t>
  </si>
  <si>
    <t xml:space="preserve">https://www.hub71.com/</t>
  </si>
  <si>
    <t xml:space="preserve">https://www.hub71.com/contact</t>
  </si>
  <si>
    <t xml:space="preserve">A</t>
  </si>
  <si>
    <t xml:space="preserve">Cohort mentoring, AI/product strategy, enterprise GTM, founder reviews and Germany/Europe–GCC market access.</t>
  </si>
  <si>
    <t xml:space="preserve">External Advisor / Mentor – AI, Product &amp; Germany–GCC | Hub71 startup ecosystem</t>
  </si>
  <si>
    <t xml:space="preserve">I came across Hub71 startup ecosystem at Hub71 and its work around abu dhabi global tech ecosystem offering startup programs, market access, investor and corporate connections.</t>
  </si>
  <si>
    <t xml:space="preserve">Use the program/functional email with a concise external mentor/advisor proposition.</t>
  </si>
  <si>
    <t xml:space="preserve">Already contacted</t>
  </si>
  <si>
    <t xml:space="preserve">Already emailed in earlier batch (same address)</t>
  </si>
  <si>
    <t xml:space="preserve">startAD – NYU Abu Dhabi</t>
  </si>
  <si>
    <t xml:space="preserve">startAD</t>
  </si>
  <si>
    <t xml:space="preserve">NYU Abu Dhabi-based accelerator and innovation platform connecting startups, corporates, investors and mentors.</t>
  </si>
  <si>
    <t xml:space="preserve">Ashwin Joshi</t>
  </si>
  <si>
    <t xml:space="preserve">Director, startAD</t>
  </si>
  <si>
    <t xml:space="preserve">startAD@nyu.edu</t>
  </si>
  <si>
    <t xml:space="preserve">https://startad.ae/</t>
  </si>
  <si>
    <t xml:space="preserve">https://startad.ae/contact/</t>
  </si>
  <si>
    <t xml:space="preserve">External Advisor / Mentor – AI, Product &amp; Germany–GCC | startAD</t>
  </si>
  <si>
    <t xml:space="preserve">I came across startAD at startAD – NYU Abu Dhabi and its work around nyu abu dhabi-based accelerator and innovation platform connecting startups, corporates, investors and mentors.</t>
  </si>
  <si>
    <t xml:space="preserve">Write directly to the named contact using the public email and ask about contributing to the mentor/advisor network.</t>
  </si>
  <si>
    <t xml:space="preserve">Named contact + public email</t>
  </si>
  <si>
    <t xml:space="preserve">Dubai</t>
  </si>
  <si>
    <t xml:space="preserve">Dubai Technology Entrepreneur Campus (Dtec)</t>
  </si>
  <si>
    <t xml:space="preserve">Dtec</t>
  </si>
  <si>
    <t xml:space="preserve">Dubai Silicon Oasis technology startup hub offering incubation, workspace, market access and ecosystem support.</t>
  </si>
  <si>
    <t xml:space="preserve">Dtec Team</t>
  </si>
  <si>
    <t xml:space="preserve">Startup / ecosystem team</t>
  </si>
  <si>
    <t xml:space="preserve">dtec.sales@dtec.ae</t>
  </si>
  <si>
    <t xml:space="preserve">community@dtec.ae</t>
  </si>
  <si>
    <t xml:space="preserve">+971 4 501 5000</t>
  </si>
  <si>
    <t xml:space="preserve">https://dtec.ae/</t>
  </si>
  <si>
    <t xml:space="preserve">https://dtec.ae/contact/</t>
  </si>
  <si>
    <t xml:space="preserve">External Advisor / Mentor – AI, Product &amp; Germany–GCC | Dtec</t>
  </si>
  <si>
    <t xml:space="preserve">I came across Dtec at Dubai Technology Entrepreneur Campus (Dtec) and its work around dubai silicon oasis technology startup hub offering incubation, workspace, market access and ecosystem support.</t>
  </si>
  <si>
    <t xml:space="preserve">Skipped</t>
  </si>
  <si>
    <t xml:space="preserve">Dtec already emailed (dtec@dso.ae)</t>
  </si>
  <si>
    <t xml:space="preserve">Mohammed Bin Rashid Innovation Fund (MBRIF)</t>
  </si>
  <si>
    <t xml:space="preserve">Innovation Accelerator</t>
  </si>
  <si>
    <t xml:space="preserve">UAE Ministry of Finance initiative supporting innovative companies through acceleration and growth services.</t>
  </si>
  <si>
    <t xml:space="preserve">MBRIF Team</t>
  </si>
  <si>
    <t xml:space="preserve">Innovation / accelerator team</t>
  </si>
  <si>
    <t xml:space="preserve">contact@mbrif.ae</t>
  </si>
  <si>
    <t xml:space="preserve">info@mbrinnovationfund.ae</t>
  </si>
  <si>
    <t xml:space="preserve">https://mbrif.ae/</t>
  </si>
  <si>
    <t xml:space="preserve">https://mbrif.ae/ar/contact-us-2/</t>
  </si>
  <si>
    <t xml:space="preserve">Founder capacity building, AI adoption, mentor programs, ecosystem partnerships and Germany/Europe–GCC market connections.</t>
  </si>
  <si>
    <t xml:space="preserve">External Mentor / Advisor Support | Innovation Accelerator</t>
  </si>
  <si>
    <t xml:space="preserve">I came across Innovation Accelerator at Mohammed Bin Rashid Innovation Fund (MBRIF) and its work around uae ministry of finance initiative supporting innovative companies through acceleration and growth services.</t>
  </si>
  <si>
    <t xml:space="preserve">Position around founder mentoring, enterprise readiness and international expansion.</t>
  </si>
  <si>
    <t xml:space="preserve">Sharjah</t>
  </si>
  <si>
    <t xml:space="preserve">Sharjah Entrepreneurship Center (Sheraa)</t>
  </si>
  <si>
    <t xml:space="preserve">Sheraa</t>
  </si>
  <si>
    <t xml:space="preserve">Sharjah startup ecosystem builder supporting founders through programs, incubation, mentorship and market access.</t>
  </si>
  <si>
    <t xml:space="preserve">Sara Abdelaziz Al Nuaimi</t>
  </si>
  <si>
    <t xml:space="preserve">CEO</t>
  </si>
  <si>
    <t xml:space="preserve">info@sheraa.ae</t>
  </si>
  <si>
    <t xml:space="preserve">+971 6 558 5000</t>
  </si>
  <si>
    <t xml:space="preserve">https://sheraa.ae/about-us</t>
  </si>
  <si>
    <t xml:space="preserve">https://sheraa.ae/contact-us</t>
  </si>
  <si>
    <t xml:space="preserve">External Advisor / Mentor – AI, Product &amp; Germany–GCC | Sheraa</t>
  </si>
  <si>
    <t xml:space="preserve">I came across Sheraa at Sharjah Entrepreneurship Center (Sheraa) and its work around sharjah startup ecosystem builder supporting founders through programs, incubation, mentorship and market access.</t>
  </si>
  <si>
    <t xml:space="preserve">DIFC Innovation Hub</t>
  </si>
  <si>
    <t xml:space="preserve">Innovation Hub</t>
  </si>
  <si>
    <t xml:space="preserve">Dubai International Financial Centre innovation ecosystem for fintech, AI, digital assets and venture growth.</t>
  </si>
  <si>
    <t xml:space="preserve">Mohammad Alblooshi</t>
  </si>
  <si>
    <t xml:space="preserve">Chief Executive Officer</t>
  </si>
  <si>
    <t xml:space="preserve">https://www.innovationhub.difc.ae/the-hub/about-innovation-hub</t>
  </si>
  <si>
    <t xml:space="preserve">https://www.innovationhub.difc.ae/</t>
  </si>
  <si>
    <t xml:space="preserve">B</t>
  </si>
  <si>
    <t xml:space="preserve">External Advisor / Mentor – AI, Product &amp; Germany–GCC | Innovation Hub</t>
  </si>
  <si>
    <t xml:space="preserve">I came across Innovation Hub at DIFC Innovation Hub and its work around dubai international financial centre innovation ecosystem for fintech, ai, digital assets and venture growth.</t>
  </si>
  <si>
    <t xml:space="preserve">Use the official contact/partnership route and ask to be connected to the mentor, partnerships or incubation lead.</t>
  </si>
  <si>
    <t xml:space="preserve">Official route – no public email verified</t>
  </si>
  <si>
    <t xml:space="preserve">No email in database</t>
  </si>
  <si>
    <t xml:space="preserve">Dubai Future Foundation</t>
  </si>
  <si>
    <t xml:space="preserve">Future ecosystem / innovation programs</t>
  </si>
  <si>
    <t xml:space="preserve">Dubai government innovation platform running future technology, startup and ecosystem initiatives.</t>
  </si>
  <si>
    <t xml:space="preserve">Dubai Future Foundation Team</t>
  </si>
  <si>
    <t xml:space="preserve">Partnership / innovation team</t>
  </si>
  <si>
    <t xml:space="preserve">+971 4 516 6565</t>
  </si>
  <si>
    <t xml:space="preserve">https://www.dubaifuture.ae/</t>
  </si>
  <si>
    <t xml:space="preserve">https://www.dubaifuture.ae/reach-us/</t>
  </si>
  <si>
    <t xml:space="preserve">External Mentor / Advisor Support | Future ecosystem / innovation programs</t>
  </si>
  <si>
    <t xml:space="preserve">I came across Future ecosystem / innovation programs at Dubai Future Foundation and its work around dubai government innovation platform running future technology, startup and ecosystem initiatives.</t>
  </si>
  <si>
    <t xml:space="preserve">Dubai Chamber of Digital Economy</t>
  </si>
  <si>
    <t xml:space="preserve">Digital Economy ecosystem</t>
  </si>
  <si>
    <t xml:space="preserve">Dubai Chambers entity supporting digital companies, startups, market entry and ecosystem development.</t>
  </si>
  <si>
    <t xml:space="preserve">Digital Economy Team</t>
  </si>
  <si>
    <t xml:space="preserve">Customer / ecosystem team</t>
  </si>
  <si>
    <t xml:space="preserve">customercare@dubaichamber.com</t>
  </si>
  <si>
    <t xml:space="preserve">800 CHAMBER (242 6237)</t>
  </si>
  <si>
    <t xml:space="preserve">https://www.dubaichamber.com/</t>
  </si>
  <si>
    <t xml:space="preserve">https://myhub.dubaichamber.com/en/web/dubai-chamber-of-digital-economy/home</t>
  </si>
  <si>
    <t xml:space="preserve">External Mentor / Advisor Support | Digital Economy ecosystem</t>
  </si>
  <si>
    <t xml:space="preserve">I came across Digital Economy ecosystem at Dubai Chamber of Digital Economy and its work around dubai chambers entity supporting digital companies, startups, market entry and ecosystem development.</t>
  </si>
  <si>
    <t xml:space="preserve">Only a customer care inbox</t>
  </si>
  <si>
    <t xml:space="preserve">Khalifa Fund for Enterprise Development</t>
  </si>
  <si>
    <t xml:space="preserve">Entrepreneurship support</t>
  </si>
  <si>
    <t xml:space="preserve">Abu Dhabi government entity supporting entrepreneurship, SME development, capability building and market access.</t>
  </si>
  <si>
    <t xml:space="preserve">Khalifa Fund Team</t>
  </si>
  <si>
    <t xml:space="preserve">Entrepreneurship support team</t>
  </si>
  <si>
    <t xml:space="preserve">info@khalifafund.ae</t>
  </si>
  <si>
    <t xml:space="preserve">+971 2 696 0000</t>
  </si>
  <si>
    <t xml:space="preserve">https://www.khalifafund.ae/</t>
  </si>
  <si>
    <t xml:space="preserve">https://www.khalifafund.ae/contact/</t>
  </si>
  <si>
    <t xml:space="preserve">External Mentor / Advisor Support | Entrepreneurship support</t>
  </si>
  <si>
    <t xml:space="preserve">I came across Entrepreneurship support at Khalifa Fund for Enterprise Development and its work around abu dhabi government entity supporting entrepreneurship, sme development, capability building and market access.</t>
  </si>
  <si>
    <t xml:space="preserve">Offer founder mentoring, AI adoption and Germany/Europe connections.</t>
  </si>
  <si>
    <t xml:space="preserve">Sharjah SME – RUWAD</t>
  </si>
  <si>
    <t xml:space="preserve">Sharjah government SME development body supporting entrepreneurs through advisory, training and business support.</t>
  </si>
  <si>
    <t xml:space="preserve">RUWAD Team</t>
  </si>
  <si>
    <t xml:space="preserve">SME / entrepreneurship team</t>
  </si>
  <si>
    <t xml:space="preserve">info@ruwad.ae</t>
  </si>
  <si>
    <t xml:space="preserve">cs@ruwad.ae</t>
  </si>
  <si>
    <t xml:space="preserve">+971 6 512 2555</t>
  </si>
  <si>
    <t xml:space="preserve">https://www.ruwad.ae/</t>
  </si>
  <si>
    <t xml:space="preserve">I came across Entrepreneurship support at Sharjah SME – RUWAD and its work around sharjah government sme development body supporting entrepreneurs through advisory, training and business support.</t>
  </si>
  <si>
    <t xml:space="preserve">Good route for mentor/advisor contribution to SME founders.</t>
  </si>
  <si>
    <t xml:space="preserve">University of Dubai</t>
  </si>
  <si>
    <t xml:space="preserve">Innovation, Entrepreneurship &amp; Business Centre (IEBC)</t>
  </si>
  <si>
    <t xml:space="preserve">University entrepreneurship centre offering pitch competitions, workshops, mentoring, incubation and ecosystem connections.</t>
  </si>
  <si>
    <t xml:space="preserve">IEBC Team</t>
  </si>
  <si>
    <t xml:space="preserve">Entrepreneurship &amp; incubation team</t>
  </si>
  <si>
    <t xml:space="preserve">Info.iebc@ud.ac.ae</t>
  </si>
  <si>
    <t xml:space="preserve">startup.support@ud.ac.ae</t>
  </si>
  <si>
    <t xml:space="preserve">+971 4 556 6800</t>
  </si>
  <si>
    <t xml:space="preserve">https://ud.ac.ae/entrepreneurship-and-business-centre-udiebc/</t>
  </si>
  <si>
    <t xml:space="preserve">Startup mentoring, business models, GTM, enterprise readiness, entrepreneurship education and Germany–GCC connections.</t>
  </si>
  <si>
    <t xml:space="preserve">External Advisor / Mentor – AI, Product &amp; Germany–GCC | University of Dubai</t>
  </si>
  <si>
    <t xml:space="preserve">I came across Innovation, Entrepreneurship &amp; Business Centre (IEBC) at University of Dubai and its work around university entrepreneurship centre offering pitch competitions, workshops, mentoring, incubation and ecosystem connections.</t>
  </si>
  <si>
    <t xml:space="preserve">Engineering / Technology University</t>
  </si>
  <si>
    <t xml:space="preserve">Khalifa University</t>
  </si>
  <si>
    <t xml:space="preserve">Technology Management &amp; Innovation</t>
  </si>
  <si>
    <t xml:space="preserve">University office responsible for research commercialization, startups, licensing and industry engagement.</t>
  </si>
  <si>
    <t xml:space="preserve">Aysha Ali Rashed AlNuaimi</t>
  </si>
  <si>
    <t xml:space="preserve">Acting Director, Technology Management &amp; Innovation</t>
  </si>
  <si>
    <t xml:space="preserve">aysha.alnuaimi@ku.ac.ae</t>
  </si>
  <si>
    <t xml:space="preserve">ip@ku.ac.ae</t>
  </si>
  <si>
    <t xml:space="preserve">https://www.ku.ac.ae/research-offices/technology-management-innovation/our-team</t>
  </si>
  <si>
    <t xml:space="preserve">https://www.ku.ac.ae/research-offices/technology-management-innovation</t>
  </si>
  <si>
    <t xml:space="preserve">AI/product strategy, enterprise technology, research commercialization, founder mentoring and Germany–GCC market connections.</t>
  </si>
  <si>
    <t xml:space="preserve">External Advisor / Mentor – AI, Product &amp; Germany–GCC | Technology Management &amp; Innovation</t>
  </si>
  <si>
    <t xml:space="preserve">I came across Technology Management &amp; Innovation at Khalifa University and its work around university office responsible for research commercialization, startups, licensing and industry engagement.</t>
  </si>
  <si>
    <t xml:space="preserve">Direct named decision-maker and strong commercialization fit.</t>
  </si>
  <si>
    <t xml:space="preserve">Mohamed bin Zayed University of Artificial Intelligence (MBZUAI)</t>
  </si>
  <si>
    <t xml:space="preserve">Incubation &amp; Entrepreneurship Center (IEC)</t>
  </si>
  <si>
    <t xml:space="preserve">AI university incubation center helping founders build and scale AI startups, with mentor and ecosystem partner networks.</t>
  </si>
  <si>
    <t xml:space="preserve">IEC Team</t>
  </si>
  <si>
    <t xml:space="preserve">Incubation &amp; Entrepreneurship Center</t>
  </si>
  <si>
    <t xml:space="preserve">iec@mbzuai.ac.ae</t>
  </si>
  <si>
    <t xml:space="preserve">info@mbzuai.ac.ae</t>
  </si>
  <si>
    <t xml:space="preserve">+971 2 811 3333</t>
  </si>
  <si>
    <t xml:space="preserve">https://mbzuai.ac.ae/innovation-partnerships/incubation-entrepreneurship-center</t>
  </si>
  <si>
    <t xml:space="preserve">https://mbzuai.ac.ae/about-us/contact-mbzuai</t>
  </si>
  <si>
    <t xml:space="preserve">External Advisor / Mentor – AI, Product &amp; Germany–GCC | Mohamed bin Zayed University of Artificial Intelligence (MBZUAI)</t>
  </si>
  <si>
    <t xml:space="preserve">I came across Incubation &amp; Entrepreneurship Center (IEC) at Mohamed bin Zayed University of Artificial Intelligence (MBZUAI) and its work around ai university incubation center helping founders build and scale ai startups, with mentor and ecosystem partner networks.</t>
  </si>
  <si>
    <t xml:space="preserve">Very strong AI/startup mentoring alignment.</t>
  </si>
  <si>
    <t xml:space="preserve">University of Sharjah</t>
  </si>
  <si>
    <t xml:space="preserve">University innovation hub supporting entrepreneurship, technology development and commercialization.</t>
  </si>
  <si>
    <t xml:space="preserve">Engr. Mahmoud Abu Shammeh</t>
  </si>
  <si>
    <t xml:space="preserve">Director, Innovation Hub</t>
  </si>
  <si>
    <t xml:space="preserve">abushammeh@sharjah.ac.ae</t>
  </si>
  <si>
    <t xml:space="preserve">mmadi@sharjah.ac.ae</t>
  </si>
  <si>
    <t xml:space="preserve">https://www.sharjah.ac.ae/en/Services/Departments/Innovation-Hub</t>
  </si>
  <si>
    <t xml:space="preserve">I came across Innovation Hub at University of Sharjah and its work around university innovation hub supporting entrepreneurship, technology development and commercialization.</t>
  </si>
  <si>
    <t xml:space="preserve">Named director; strong innovation/commercialization target.</t>
  </si>
  <si>
    <t xml:space="preserve">Al Ain</t>
  </si>
  <si>
    <t xml:space="preserve">United Arab Emirates University (UAEU)</t>
  </si>
  <si>
    <t xml:space="preserve">Emirates Centre for Entrepreneurship Research</t>
  </si>
  <si>
    <t xml:space="preserve">University entrepreneurship research ecosystem linking entrepreneurship, education, research and enterprise development.</t>
  </si>
  <si>
    <t xml:space="preserve">Dr. Ishara Maharaj</t>
  </si>
  <si>
    <t xml:space="preserve">Entrepreneurship research contact</t>
  </si>
  <si>
    <t xml:space="preserve">ishara.maharaj@uaeu.ac.ae</t>
  </si>
  <si>
    <t xml:space="preserve">savagepd@uaeu.ac.ae</t>
  </si>
  <si>
    <t xml:space="preserve">https://www.uaeu.ac.ae/en/research/</t>
  </si>
  <si>
    <t xml:space="preserve">https://www.uaeu.ac.ae/en/research/research-booklet-uaeu-2024.pdf</t>
  </si>
  <si>
    <t xml:space="preserve">External Advisor / Mentor – AI, Product &amp; Germany–GCC | United Arab Emirates University (UAEU)</t>
  </si>
  <si>
    <t xml:space="preserve">I came across Emirates Centre for Entrepreneurship Research at United Arab Emirates University (UAEU) and its work around university entrepreneurship research ecosystem linking entrepreneurship, education, research and enterprise development.</t>
  </si>
  <si>
    <t xml:space="preserve">Good for entrepreneurship teaching, research and mentor collaboration.</t>
  </si>
  <si>
    <t xml:space="preserve">Rochester Institute of Technology Dubai (RIT Dubai)</t>
  </si>
  <si>
    <t xml:space="preserve">Projects &amp; Development / entrepreneurship ecosystem</t>
  </si>
  <si>
    <t xml:space="preserve">Technology-focused Dubai campus with industry projects and entrepreneurship-oriented activities.</t>
  </si>
  <si>
    <t xml:space="preserve">Yousef Al Mannaee</t>
  </si>
  <si>
    <t xml:space="preserve">Projects &amp; Development Manager</t>
  </si>
  <si>
    <t xml:space="preserve">yaacad@rit.edu</t>
  </si>
  <si>
    <t xml:space="preserve">dubai@rit.edu</t>
  </si>
  <si>
    <t xml:space="preserve">+971 4 371 2000</t>
  </si>
  <si>
    <t xml:space="preserve">https://www.rit.edu/dubai/directory</t>
  </si>
  <si>
    <t xml:space="preserve">https://www.rit.edu/dubai/</t>
  </si>
  <si>
    <t xml:space="preserve">External Advisor / Mentor – AI, Product &amp; Germany–GCC | Rochester Institute of Technology Dubai (RIT Dubai)</t>
  </si>
  <si>
    <t xml:space="preserve">I came across Projects &amp; Development / entrepreneurship ecosystem at Rochester Institute of Technology Dubai (RIT Dubai) and its work around technology-focused dubai campus with industry projects and entrepreneurship-oriented activities.</t>
  </si>
  <si>
    <t xml:space="preserve">Direct contact plus technology and industry-project fit.</t>
  </si>
  <si>
    <t xml:space="preserve">SP Jain School of Global Management</t>
  </si>
  <si>
    <t xml:space="preserve">Dubai Campus</t>
  </si>
  <si>
    <t xml:space="preserve">Global business school with Dubai campus and entrepreneurship/business programs.</t>
  </si>
  <si>
    <t xml:space="preserve">Amol Sawant</t>
  </si>
  <si>
    <t xml:space="preserve">Dubai campus contact</t>
  </si>
  <si>
    <t xml:space="preserve">amol.sawant@spjain.org</t>
  </si>
  <si>
    <t xml:space="preserve">admissions.dxb@spjain.org</t>
  </si>
  <si>
    <t xml:space="preserve">https://www.spjain.org/global-campus/dubai</t>
  </si>
  <si>
    <t xml:space="preserve">https://www.spjain.ae/contact-us</t>
  </si>
  <si>
    <t xml:space="preserve">External Advisor / Mentor – AI, Product &amp; Germany–GCC | Dubai Campus</t>
  </si>
  <si>
    <t xml:space="preserve">I came across Dubai Campus at SP Jain School of Global Management and its work around global business school with dubai campus and entrepreneurship/business programs.</t>
  </si>
  <si>
    <t xml:space="preserve">Pitch mentor/guest advisor role around AI, product, startup execution and Europe connections.</t>
  </si>
  <si>
    <t xml:space="preserve">Dubai / Abu Dhabi</t>
  </si>
  <si>
    <t xml:space="preserve">Zayed University</t>
  </si>
  <si>
    <t xml:space="preserve">Innovation &amp; Entrepreneurship Center</t>
  </si>
  <si>
    <t xml:space="preserve">University center supporting innovation, entrepreneurship education and engagement with ecosystem partners.</t>
  </si>
  <si>
    <t xml:space="preserve">Innovation &amp; Entrepreneurship Center Team</t>
  </si>
  <si>
    <t xml:space="preserve">University entrepreneurship team</t>
  </si>
  <si>
    <t xml:space="preserve">https://www.zu.ac.ae/main/en/ie-center/index</t>
  </si>
  <si>
    <t xml:space="preserve">External Advisor / Mentor – AI, Product &amp; Germany–GCC | Innovation &amp; Entrepreneurship Center</t>
  </si>
  <si>
    <t xml:space="preserve">I came across Innovation &amp; Entrepreneurship Center at Zayed University and its work around university center supporting innovation, entrepreneurship education and engagement with ecosystem partners.</t>
  </si>
  <si>
    <t xml:space="preserve">American University of Sharjah</t>
  </si>
  <si>
    <t xml:space="preserve">Department of Management, Strategy &amp; Entrepreneurship</t>
  </si>
  <si>
    <t xml:space="preserve">Business-school department covering entrepreneurship, strategy and management with industry-facing academic activity.</t>
  </si>
  <si>
    <t xml:space="preserve">Dr. Virginia Bodolica</t>
  </si>
  <si>
    <t xml:space="preserve">Department leadership</t>
  </si>
  <si>
    <t xml:space="preserve">https://www.aus.edu/sba/department-of-management-strategy-entrepreneurship</t>
  </si>
  <si>
    <t xml:space="preserve">C</t>
  </si>
  <si>
    <t xml:space="preserve">External Advisor / Mentor – AI, Product &amp; Germany–GCC | American University of Sharjah</t>
  </si>
  <si>
    <t xml:space="preserve">I came across Department of Management, Strategy &amp; Entrepreneurship at American University of Sharjah and its work around business-school department covering entrepreneurship, strategy and management with industry-facing academic activity.</t>
  </si>
  <si>
    <t xml:space="preserve">Riyadh</t>
  </si>
  <si>
    <t xml:space="preserve">Monsha'at – Small and Medium Enterprises General Authority</t>
  </si>
  <si>
    <t xml:space="preserve">Innovation Center</t>
  </si>
  <si>
    <t xml:space="preserve">Saudi government innovation centers supporting technology startups through incubation, consultations, workshops and expert guidance.</t>
  </si>
  <si>
    <t xml:space="preserve">Monsha'at Innovation Center Team</t>
  </si>
  <si>
    <t xml:space="preserve">InnovationCenters@monshaat.gov.sa</t>
  </si>
  <si>
    <t xml:space="preserve">Info@monshaat.gov.sa</t>
  </si>
  <si>
    <t xml:space="preserve">8003018888</t>
  </si>
  <si>
    <t xml:space="preserve">https://www.monshaat.gov.sa/en/innovation_center</t>
  </si>
  <si>
    <t xml:space="preserve">https://www.monshaat.gov.sa/en/support</t>
  </si>
  <si>
    <t xml:space="preserve">External Mentor / Advisor Support | Innovation Center</t>
  </si>
  <si>
    <t xml:space="preserve">I came across Innovation Center at Monsha'at – Small and Medium Enterprises General Authority and its work around saudi government innovation centers supporting technology startups through incubation, consultations, workshops and expert guidance.</t>
  </si>
  <si>
    <t xml:space="preserve">Explicit expert consultations make this a strong external-mentor target.</t>
  </si>
  <si>
    <t xml:space="preserve">Ministry of Communications and Information Technology (MCIT)</t>
  </si>
  <si>
    <t xml:space="preserve">CODE Gate</t>
  </si>
  <si>
    <t xml:space="preserve">Government technology entrepreneurship platform supporting digital startups and innovation programs.</t>
  </si>
  <si>
    <t xml:space="preserve">CODE / MCIT Team</t>
  </si>
  <si>
    <t xml:space="preserve">Technology entrepreneurship team</t>
  </si>
  <si>
    <t xml:space="preserve">info@mcit.gov.sa</t>
  </si>
  <si>
    <t xml:space="preserve">011 814 4444</t>
  </si>
  <si>
    <t xml:space="preserve">https://code.mcit.gov.sa/</t>
  </si>
  <si>
    <t xml:space="preserve">https://my.gov.sa/en/services/2477063</t>
  </si>
  <si>
    <t xml:space="preserve">External Mentor / Advisor Support | CODE Gate</t>
  </si>
  <si>
    <t xml:space="preserve">I came across CODE Gate at Ministry of Communications and Information Technology (MCIT) and its work around government technology entrepreneurship platform supporting digital startups and innovation programs.</t>
  </si>
  <si>
    <t xml:space="preserve">Only a general ministry inbox</t>
  </si>
  <si>
    <t xml:space="preserve">Tech Founders</t>
  </si>
  <si>
    <t xml:space="preserve">MCIT technology entrepreneurship program supporting startup founders and technology venture development.</t>
  </si>
  <si>
    <t xml:space="preserve">Tech Founders Team</t>
  </si>
  <si>
    <t xml:space="preserve">Technology entrepreneurship program</t>
  </si>
  <si>
    <t xml:space="preserve">https://www.mcit.gov.sa/</t>
  </si>
  <si>
    <t xml:space="preserve">https://my.gov.sa/en/services/2422923</t>
  </si>
  <si>
    <t xml:space="preserve">External Mentor / Advisor Support | Tech Founders</t>
  </si>
  <si>
    <t xml:space="preserve">I came across Tech Founders at Ministry of Communications and Information Technology (MCIT) and its work around mcit technology entrepreneurship program supporting startup founders and technology venture development.</t>
  </si>
  <si>
    <t xml:space="preserve">Mohammed bin Salman Foundation (Misk)</t>
  </si>
  <si>
    <t xml:space="preserve">Misk Entrepreneurship</t>
  </si>
  <si>
    <t xml:space="preserve">Entrepreneurship programs supporting young founders, venture development and ecosystem connections.</t>
  </si>
  <si>
    <t xml:space="preserve">Misk Entrepreneurship Team</t>
  </si>
  <si>
    <t xml:space="preserve">Entrepreneurship team</t>
  </si>
  <si>
    <t xml:space="preserve">contact@misk.org.sa</t>
  </si>
  <si>
    <t xml:space="preserve">https://misk.org.sa/en/</t>
  </si>
  <si>
    <t xml:space="preserve">https://misk.org.sa/en/ask-misk-en/</t>
  </si>
  <si>
    <t xml:space="preserve">External Advisor / Mentor – AI, Product &amp; Germany–GCC | Misk Entrepreneurship</t>
  </si>
  <si>
    <t xml:space="preserve">I came across Misk Entrepreneurship at Mohammed bin Salman Foundation (Misk) and its work around entrepreneurship programs supporting young founders, venture development and ecosystem connections.</t>
  </si>
  <si>
    <t xml:space="preserve">Pitch practical founder mentoring and international-market sessions.</t>
  </si>
  <si>
    <t xml:space="preserve">Makkah Province</t>
  </si>
  <si>
    <t xml:space="preserve">Thuwal</t>
  </si>
  <si>
    <t xml:space="preserve">King Abdullah University of Science and Technology (KAUST)</t>
  </si>
  <si>
    <t xml:space="preserve">Entrepreneurship Center</t>
  </si>
  <si>
    <t xml:space="preserve">KAUST entrepreneurship ecosystem supporting technology founders, startup training and acceleration.</t>
  </si>
  <si>
    <t xml:space="preserve">KAUST Entrepreneurship Team</t>
  </si>
  <si>
    <t xml:space="preserve">leap@kaust.edu.sa</t>
  </si>
  <si>
    <t xml:space="preserve">entrepreneurship@kaust.edu.sa</t>
  </si>
  <si>
    <t xml:space="preserve">https://leap.kaust.edu.sa/entrepreneurship-center.html</t>
  </si>
  <si>
    <t xml:space="preserve">https://www.kaust.edu.sa/</t>
  </si>
  <si>
    <t xml:space="preserve">External Advisor / Mentor – AI, Product &amp; Germany–GCC | Entrepreneurship Center</t>
  </si>
  <si>
    <t xml:space="preserve">I came across Entrepreneurship Center at King Abdullah University of Science and Technology (KAUST) and its work around kaust entrepreneurship ecosystem supporting technology founders, startup training and acceleration.</t>
  </si>
  <si>
    <t xml:space="preserve">Deep-tech commercialization and international-market fit.</t>
  </si>
  <si>
    <t xml:space="preserve">KAUST</t>
  </si>
  <si>
    <t xml:space="preserve">TAQADAM Accelerator</t>
  </si>
  <si>
    <t xml:space="preserve">KAUST startup accelerator supporting early-stage ventures with mentoring, training and ecosystem access.</t>
  </si>
  <si>
    <t xml:space="preserve">TAQADAM Team</t>
  </si>
  <si>
    <t xml:space="preserve">Accelerator team</t>
  </si>
  <si>
    <t xml:space="preserve">Apply.Taqadam@kaust.edu.sa</t>
  </si>
  <si>
    <t xml:space="preserve">https://taqadam.kaust.edu.sa/</t>
  </si>
  <si>
    <t xml:space="preserve">External Advisor / Mentor – AI, Product &amp; Germany–GCC | TAQADAM Accelerator</t>
  </si>
  <si>
    <t xml:space="preserve">I came across TAQADAM Accelerator at KAUST and its work around kaust startup accelerator supporting early-stage ventures with mentoring, training and ecosystem access.</t>
  </si>
  <si>
    <t xml:space="preserve">KAUST covered via Entrepreneurship Center email</t>
  </si>
  <si>
    <t xml:space="preserve">KAUST Innovation Fund</t>
  </si>
  <si>
    <t xml:space="preserve">University-linked venture fund investing in technology startups and spin-ins, including international ventures establishing activity in Saudi Arabia.</t>
  </si>
  <si>
    <t xml:space="preserve">KAUST Innovation Fund Team</t>
  </si>
  <si>
    <t xml:space="preserve">Innovation Fund</t>
  </si>
  <si>
    <t xml:space="preserve">KIF@kaust.edu.sa</t>
  </si>
  <si>
    <t xml:space="preserve">https://www.kaust.edu.sa/en/news/how-kaust-is-enabling-the-in-kingdom-entrepreneurs-of-tomorrow</t>
  </si>
  <si>
    <t xml:space="preserve">External Advisor / Mentor – AI, Product &amp; Germany–GCC | KAUST Innovation Fund</t>
  </si>
  <si>
    <t xml:space="preserve">I came across KAUST Innovation Fund at KAUST and its work around university-linked venture fund investing in technology startups and spin-ins, including international ventures establishing activity in saudi arabia.</t>
  </si>
  <si>
    <t xml:space="preserve">King Saud University</t>
  </si>
  <si>
    <t xml:space="preserve">Entrepreneurship Institute</t>
  </si>
  <si>
    <t xml:space="preserve">University entrepreneurship institute supporting innovation, entrepreneurial education and venture development.</t>
  </si>
  <si>
    <t xml:space="preserve">Dr. Khalid Alhussaini</t>
  </si>
  <si>
    <t xml:space="preserve">Executive Director, Entrepreneurship Institute</t>
  </si>
  <si>
    <t xml:space="preserve">kalhussaini@ksu.edu.sa</t>
  </si>
  <si>
    <t xml:space="preserve">fmalessa@ksu.edu.sa</t>
  </si>
  <si>
    <t xml:space="preserve">011 806 2212</t>
  </si>
  <si>
    <t xml:space="preserve">https://ei.ksu.edu.sa/en/workteam_En</t>
  </si>
  <si>
    <t xml:space="preserve">External Advisor / Mentor – AI, Product &amp; Germany–GCC | Entrepreneurship Institute</t>
  </si>
  <si>
    <t xml:space="preserve">I came across Entrepreneurship Institute at King Saud University and its work around university entrepreneurship institute supporting innovation, entrepreneurial education and venture development.</t>
  </si>
  <si>
    <t xml:space="preserve">Direct named leadership.</t>
  </si>
  <si>
    <t xml:space="preserve">Jeddah</t>
  </si>
  <si>
    <t xml:space="preserve">King Abdulaziz University</t>
  </si>
  <si>
    <t xml:space="preserve">Center for Innovation &amp; Entrepreneurship</t>
  </si>
  <si>
    <t xml:space="preserve">University center supporting innovation, startup creation and entrepreneurship.</t>
  </si>
  <si>
    <t xml:space="preserve">Center for Innovation &amp; Entrepreneurship Team</t>
  </si>
  <si>
    <t xml:space="preserve">Center team</t>
  </si>
  <si>
    <t xml:space="preserve">iec@kau.edu.sa</t>
  </si>
  <si>
    <t xml:space="preserve">https://kau.edu.sa/en/page/center-for-innovation-and-entrepreneurship</t>
  </si>
  <si>
    <t xml:space="preserve">External Advisor / Mentor – AI, Product &amp; Germany–GCC | Center for Innovation &amp; Entrepreneurship</t>
  </si>
  <si>
    <t xml:space="preserve">I came across Center for Innovation &amp; Entrepreneurship at King Abdulaziz University and its work around university center supporting innovation, startup creation and entrepreneurship.</t>
  </si>
  <si>
    <t xml:space="preserve">Eastern Province</t>
  </si>
  <si>
    <t xml:space="preserve">Dhahran</t>
  </si>
  <si>
    <t xml:space="preserve">King Fahd University of Petroleum &amp; Minerals (KFUPM)</t>
  </si>
  <si>
    <t xml:space="preserve">Technology university entrepreneurship ecosystem supporting innovation and startup development.</t>
  </si>
  <si>
    <t xml:space="preserve">Prof. Wail A. Mousa</t>
  </si>
  <si>
    <t xml:space="preserve">Entrepreneurship / faculty contact</t>
  </si>
  <si>
    <t xml:space="preserve">wailmousa@kfupm.edu.sa</t>
  </si>
  <si>
    <t xml:space="preserve">https://faculty.kfupm.edu.sa/EE/wailmousa/</t>
  </si>
  <si>
    <t xml:space="preserve">https://www.kfupm.edu.sa/</t>
  </si>
  <si>
    <t xml:space="preserve">I came across Entrepreneurship Institute at King Fahd University of Petroleum &amp; Minerals (KFUPM) and its work around technology university entrepreneurship ecosystem supporting innovation and startup development.</t>
  </si>
  <si>
    <t xml:space="preserve">KFUPM already emailed (ei@kfupm.edu.sa)</t>
  </si>
  <si>
    <t xml:space="preserve">Alfaisal University</t>
  </si>
  <si>
    <t xml:space="preserve">Center for Innovation, Partnership &amp; Community Engagement (CIPC)</t>
  </si>
  <si>
    <t xml:space="preserve">University center connecting innovation, partnerships, entrepreneurship and community/industry engagement.</t>
  </si>
  <si>
    <t xml:space="preserve">CIPC Team</t>
  </si>
  <si>
    <t xml:space="preserve">Innovation &amp; partnerships team</t>
  </si>
  <si>
    <t xml:space="preserve">cipc@alfaisal.edu</t>
  </si>
  <si>
    <t xml:space="preserve">+966 11 215 7792</t>
  </si>
  <si>
    <t xml:space="preserve">https://cipc.alfaisal.edu/</t>
  </si>
  <si>
    <t xml:space="preserve">https://cipc.alfaisal.edu/contact-us</t>
  </si>
  <si>
    <t xml:space="preserve">External Advisor / Mentor – AI, Product &amp; Germany–GCC | Alfaisal University</t>
  </si>
  <si>
    <t xml:space="preserve">I came across Center for Innovation, Partnership &amp; Community Engagement (CIPC) at Alfaisal University and its work around university center connecting innovation, partnerships, entrepreneurship and community/industry engagement.</t>
  </si>
  <si>
    <t xml:space="preserve">Alfaisal covered via Accelerator email (CIPC in cc)</t>
  </si>
  <si>
    <t xml:space="preserve">Alfaisal Accelerator</t>
  </si>
  <si>
    <t xml:space="preserve">University accelerator supporting venture development and entrepreneurship.</t>
  </si>
  <si>
    <t xml:space="preserve">Alfaisal Accelerator Team</t>
  </si>
  <si>
    <t xml:space="preserve">center@alfaisal.edu</t>
  </si>
  <si>
    <t xml:space="preserve">+966 11 215 7967</t>
  </si>
  <si>
    <t xml:space="preserve">https://center.alfaisal.edu/accelerator</t>
  </si>
  <si>
    <t xml:space="preserve">External Advisor / Mentor – AI, Product &amp; Germany–GCC | Alfaisal Accelerator</t>
  </si>
  <si>
    <t xml:space="preserve">I came across Alfaisal Accelerator at Alfaisal University and its work around university accelerator supporting venture development and entrepreneurship.</t>
  </si>
  <si>
    <t xml:space="preserve">Direct accelerator route.</t>
  </si>
  <si>
    <t xml:space="preserve">Effat University</t>
  </si>
  <si>
    <t xml:space="preserve">Business Innovation &amp; Entrepreneurship Research Center</t>
  </si>
  <si>
    <t xml:space="preserve">University research center focused on business innovation and entrepreneurship.</t>
  </si>
  <si>
    <t xml:space="preserve">Center Team</t>
  </si>
  <si>
    <t xml:space="preserve">Business innovation / entrepreneurship center</t>
  </si>
  <si>
    <t xml:space="preserve">https://www.effatuniversity.edu.sa/English/Research/Research-Centers/Business-Innovation-and-Entrepreneurship/Pages/default.aspx</t>
  </si>
  <si>
    <t xml:space="preserve">External Advisor / Mentor – AI, Product &amp; Germany–GCC | Effat University</t>
  </si>
  <si>
    <t xml:space="preserve">I came across Business Innovation &amp; Entrepreneurship Research Center at Effat University and its work around university research center focused on business innovation and entrepreneurship.</t>
  </si>
  <si>
    <t xml:space="preserve">Prince Sultan University</t>
  </si>
  <si>
    <t xml:space="preserve">Entrepreneurship Club</t>
  </si>
  <si>
    <t xml:space="preserve">University entrepreneurship community offering student/founder activities and business exposure.</t>
  </si>
  <si>
    <t xml:space="preserve">Entrepreneurship Club Team</t>
  </si>
  <si>
    <t xml:space="preserve">Entrepreneurship community</t>
  </si>
  <si>
    <t xml:space="preserve">epclub@psu.edu.sa</t>
  </si>
  <si>
    <t xml:space="preserve">https://www.psu.edu.sa/en/resources</t>
  </si>
  <si>
    <t xml:space="preserve">External Advisor / Mentor – AI, Product &amp; Germany–GCC | Entrepreneurship Club</t>
  </si>
  <si>
    <t xml:space="preserve">I came across Entrepreneurship Club at Prince Sultan University and its work around university entrepreneurship community offering student/founder activities and business exposure.</t>
  </si>
  <si>
    <t xml:space="preserve">Student-facing route; use for workshops/guest mentoring rather than formal board ask.</t>
  </si>
  <si>
    <t xml:space="preserve">stc</t>
  </si>
  <si>
    <t xml:space="preserve">inspireU</t>
  </si>
  <si>
    <t xml:space="preserve">Corporate accelerator supporting digital/technology startups with business support, mentoring and market opportunities.</t>
  </si>
  <si>
    <t xml:space="preserve">inspireU Team</t>
  </si>
  <si>
    <t xml:space="preserve">Corporate accelerator</t>
  </si>
  <si>
    <t xml:space="preserve">https://www.stc.com/en/inspire-u/apply-now.html</t>
  </si>
  <si>
    <t xml:space="preserve">External Advisor / Mentor – AI, Product &amp; Germany–GCC | inspireU</t>
  </si>
  <si>
    <t xml:space="preserve">I came across inspireU at stc and its work around corporate accelerator supporting digital/technology startups with business support, mentoring and market opportunities.</t>
  </si>
  <si>
    <t xml:space="preserve">The Garage</t>
  </si>
  <si>
    <t xml:space="preserve">Startup / deep-tech innovation hub</t>
  </si>
  <si>
    <t xml:space="preserve">Riyadh startup hub supporting technology founders, accelerators, venture programs and innovation community activity.</t>
  </si>
  <si>
    <t xml:space="preserve">The Garage Team</t>
  </si>
  <si>
    <t xml:space="preserve">Startup ecosystem team</t>
  </si>
  <si>
    <t xml:space="preserve">https://thegarage.sa/</t>
  </si>
  <si>
    <t xml:space="preserve">https://erp.thegarage.sa/contactus</t>
  </si>
  <si>
    <t xml:space="preserve">External Advisor / Mentor – AI, Product &amp; Germany–GCC | Startup / deep-tech innovation hub</t>
  </si>
  <si>
    <t xml:space="preserve">I came across Startup / deep-tech innovation hub at The Garage and its work around riyadh startup hub supporting technology founders, accelerators, venture programs and innovation community activity.</t>
  </si>
  <si>
    <t xml:space="preserve">Muscat</t>
  </si>
  <si>
    <t xml:space="preserve">Small and Medium Enterprises Development Authority (Riyada)</t>
  </si>
  <si>
    <t xml:space="preserve">SME &amp; entrepreneurship ecosystem</t>
  </si>
  <si>
    <t xml:space="preserve">Oman government authority supporting SMEs, entrepreneurs, incubators and entrepreneurship programs.</t>
  </si>
  <si>
    <t xml:space="preserve">H.E. Halima Al-Zari</t>
  </si>
  <si>
    <t xml:space="preserve">Chairperson</t>
  </si>
  <si>
    <t xml:space="preserve">Doc@sme.gov.om</t>
  </si>
  <si>
    <t xml:space="preserve">support_dpt@sme.gov.om</t>
  </si>
  <si>
    <t xml:space="preserve">+968 2202 2222</t>
  </si>
  <si>
    <t xml:space="preserve">https://sme.gov.om/en/</t>
  </si>
  <si>
    <t xml:space="preserve">https://sme.gov.om/en/contact-us/</t>
  </si>
  <si>
    <t xml:space="preserve">External Mentor / Advisor Support | SME &amp; entrepreneurship ecosystem</t>
  </si>
  <si>
    <t xml:space="preserve">I came across SME &amp; entrepreneurship ecosystem at Small and Medium Enterprises Development Authority (Riyada) and its work around oman government authority supporting smes, entrepreneurs, incubators and entrepreneurship programs.</t>
  </si>
  <si>
    <t xml:space="preserve">Government-level ecosystem target; use concise partnership/mentor proposition.</t>
  </si>
  <si>
    <t xml:space="preserve">ITHCA Group</t>
  </si>
  <si>
    <t xml:space="preserve">Technology investment &amp; innovation ecosystem</t>
  </si>
  <si>
    <t xml:space="preserve">Oman technology investment group supporting ICT, innovation, digital businesses and national technology development.</t>
  </si>
  <si>
    <t xml:space="preserve">ITHCA Team</t>
  </si>
  <si>
    <t xml:space="preserve">Innovation / investment ecosystem</t>
  </si>
  <si>
    <t xml:space="preserve">info@ithca.om</t>
  </si>
  <si>
    <t xml:space="preserve">+968 2231 0500</t>
  </si>
  <si>
    <t xml:space="preserve">https://ithca.om/</t>
  </si>
  <si>
    <t xml:space="preserve">https://ithca.om/contact/</t>
  </si>
  <si>
    <t xml:space="preserve">External Mentor / Advisor Support | ITHCA Group</t>
  </si>
  <si>
    <t xml:space="preserve">I came across Technology investment &amp; innovation ecosystem at ITHCA Group and its work around oman technology investment group supporting ict, innovation, digital businesses and national technology development.</t>
  </si>
  <si>
    <t xml:space="preserve">Strong enterprise-tech and international ecosystem fit.</t>
  </si>
  <si>
    <t xml:space="preserve">Oman Technology Fund (OTF)</t>
  </si>
  <si>
    <t xml:space="preserve">Technology investment / acceleration</t>
  </si>
  <si>
    <t xml:space="preserve">Technology investment platform supporting innovative technology ventures and ecosystem development.</t>
  </si>
  <si>
    <t xml:space="preserve">OTF Team</t>
  </si>
  <si>
    <t xml:space="preserve">Investment / accelerator team</t>
  </si>
  <si>
    <t xml:space="preserve">info@otf.om</t>
  </si>
  <si>
    <t xml:space="preserve">+968 2417 2717</t>
  </si>
  <si>
    <t xml:space="preserve">https://www.otf.om/</t>
  </si>
  <si>
    <t xml:space="preserve">https://www.otf.om/__trashed-3/contact/</t>
  </si>
  <si>
    <t xml:space="preserve">External Advisor / Mentor – AI, Product &amp; Germany–GCC | Technology investment / acceleration</t>
  </si>
  <si>
    <t xml:space="preserve">I came across Technology investment / acceleration at Oman Technology Fund (OTF) and its work around technology investment platform supporting innovative technology ventures and ecosystem development.</t>
  </si>
  <si>
    <t xml:space="preserve">Pitch startup reviews, AI/product mentoring and international-market support.</t>
  </si>
  <si>
    <t xml:space="preserve">Oman Startup Hub</t>
  </si>
  <si>
    <t xml:space="preserve">National startup ecosystem platform</t>
  </si>
  <si>
    <t xml:space="preserve">Digital startup ecosystem platform connecting founders, advisors, investors and support organizations in Oman.</t>
  </si>
  <si>
    <t xml:space="preserve">Oman Startup Hub Team</t>
  </si>
  <si>
    <t xml:space="preserve">support@omanstartuphub.om</t>
  </si>
  <si>
    <t xml:space="preserve">https://omanstartuphub.om/</t>
  </si>
  <si>
    <t xml:space="preserve">https://omanstartuphub.om/contact-us</t>
  </si>
  <si>
    <t xml:space="preserve">External Mentor / Advisor Support | National startup ecosystem platform</t>
  </si>
  <si>
    <t xml:space="preserve">I came across National startup ecosystem platform at Oman Startup Hub and its work around digital startup ecosystem platform connecting founders, advisors, investors and support organizations in oman.</t>
  </si>
  <si>
    <t xml:space="preserve">Advisor network makes this directly aligned with your objective.</t>
  </si>
  <si>
    <t xml:space="preserve">Sultan Qaboos University</t>
  </si>
  <si>
    <t xml:space="preserve">Innovation &amp; Technology Transfer Centre</t>
  </si>
  <si>
    <t xml:space="preserve">University innovation center covering incubation, mentoring, industry links, licensing, accelerators and entrepreneurship development.</t>
  </si>
  <si>
    <t xml:space="preserve">Dr. Adil Said Ali Al-Busaidi</t>
  </si>
  <si>
    <t xml:space="preserve">Director, Innovation &amp; Technology Transfer Centre</t>
  </si>
  <si>
    <t xml:space="preserve">abusaid@squ.edu.om</t>
  </si>
  <si>
    <t xml:space="preserve">innovation@squ.edu.om</t>
  </si>
  <si>
    <t xml:space="preserve">+968 2414 6125</t>
  </si>
  <si>
    <t xml:space="preserve">https://www.squ.edu.om/rc/Innovation-Technology-Transfer/About-the-Center</t>
  </si>
  <si>
    <t xml:space="preserve">https://innovation.squ.edu.om/contact-us</t>
  </si>
  <si>
    <t xml:space="preserve">External Advisor / Mentor – AI, Product &amp; Germany–GCC | Innovation &amp; Technology Transfer Centre</t>
  </si>
  <si>
    <t xml:space="preserve">I came across Innovation &amp; Technology Transfer Centre at Sultan Qaboos University and its work around university innovation center covering incubation, mentoring, industry links, licensing, accelerators and entrepreneurship development.</t>
  </si>
  <si>
    <t xml:space="preserve">Excellent direct named contact and strong advisor fit.</t>
  </si>
  <si>
    <t xml:space="preserve">Middle East College</t>
  </si>
  <si>
    <t xml:space="preserve">MEC Incubation Centre</t>
  </si>
  <si>
    <t xml:space="preserve">University incubation center supporting student and startup entrepreneurship.</t>
  </si>
  <si>
    <t xml:space="preserve">Incubation Centre Contact</t>
  </si>
  <si>
    <t xml:space="preserve">Incubation centre</t>
  </si>
  <si>
    <t xml:space="preserve">ralhatmi@mec.edu.om</t>
  </si>
  <si>
    <t xml:space="preserve">https://mec.edu.om/en/mec-incubation-centre/</t>
  </si>
  <si>
    <t xml:space="preserve">External Advisor / Mentor – AI, Product &amp; Germany–GCC | MEC Incubation Centre</t>
  </si>
  <si>
    <t xml:space="preserve">I came across MEC Incubation Centre at Middle East College and its work around university incubation center supporting student and startup entrepreneurship.</t>
  </si>
  <si>
    <t xml:space="preserve">Good mentor/workshop target.</t>
  </si>
  <si>
    <t xml:space="preserve">Al Batinah North</t>
  </si>
  <si>
    <t xml:space="preserve">Sohar</t>
  </si>
  <si>
    <t xml:space="preserve">Sohar University</t>
  </si>
  <si>
    <t xml:space="preserve">Technology Transfer &amp; Incubation Centre</t>
  </si>
  <si>
    <t xml:space="preserve">University center supporting technology transfer, commercialization, entrepreneurship and incubation.</t>
  </si>
  <si>
    <t xml:space="preserve">Tameema Al-Hinai</t>
  </si>
  <si>
    <t xml:space="preserve">thinai@su.edu.om</t>
  </si>
  <si>
    <t xml:space="preserve">FSHshibli@su.edu.om</t>
  </si>
  <si>
    <t xml:space="preserve">https://www.su.edu.om/knowledge-transfer-and-incubation-centre/</t>
  </si>
  <si>
    <t xml:space="preserve">External Advisor / Mentor – AI, Product &amp; Germany–GCC | Technology Transfer &amp; Incubation Centre</t>
  </si>
  <si>
    <t xml:space="preserve">I came across Technology Transfer &amp; Incubation Centre at Sohar University and its work around university center supporting technology transfer, commercialization, entrepreneurship and incubation.</t>
  </si>
  <si>
    <t xml:space="preserve">Direct contact; good commercialization and mentoring angle.</t>
  </si>
  <si>
    <t xml:space="preserve">National University of Science &amp; Technology</t>
  </si>
  <si>
    <t xml:space="preserve">Incubation Centre – Money Factory</t>
  </si>
  <si>
    <t xml:space="preserve">University incubation initiative focused on innovation, entrepreneurship and venture development.</t>
  </si>
  <si>
    <t xml:space="preserve">Ibrahim Issa Al Balushi</t>
  </si>
  <si>
    <t xml:space="preserve">Head, Incubation Centre</t>
  </si>
  <si>
    <t xml:space="preserve">info@nu.edu.om</t>
  </si>
  <si>
    <t xml:space="preserve">https://nu.edu.om/research/research-incubation-centers/</t>
  </si>
  <si>
    <t xml:space="preserve">External Advisor / Mentor – AI, Product &amp; Germany–GCC | Incubation Centre – Money Factory</t>
  </si>
  <si>
    <t xml:space="preserve">I came across Incubation Centre – Money Factory at National University of Science &amp; Technology and its work around university incubation initiative focused on innovation, entrepreneurship and venture development.</t>
  </si>
  <si>
    <t xml:space="preserve">NU Oman already emailed; only general info@ inbox</t>
  </si>
  <si>
    <t xml:space="preserve">College of Banking and Financial Studies</t>
  </si>
  <si>
    <t xml:space="preserve">Innovation &amp; entrepreneurship ecosystem</t>
  </si>
  <si>
    <t xml:space="preserve">Oman higher-education institution focused on business, banking, finance and professional development, with innovation/entrepreneurship activity.</t>
  </si>
  <si>
    <t xml:space="preserve">CBFS Team</t>
  </si>
  <si>
    <t xml:space="preserve">Innovation / business education</t>
  </si>
  <si>
    <t xml:space="preserve">info@cbfs.edu.om</t>
  </si>
  <si>
    <t xml:space="preserve">+968 2452 8888</t>
  </si>
  <si>
    <t xml:space="preserve">https://cbfs.edu.om/</t>
  </si>
  <si>
    <t xml:space="preserve">https://cbfs.edu.om/contact-us/</t>
  </si>
  <si>
    <t xml:space="preserve">External Advisor / Mentor – AI, Product &amp; Germany–GCC | Innovation &amp; entrepreneurship ecosystem</t>
  </si>
  <si>
    <t xml:space="preserve">I came across Innovation &amp; entrepreneurship ecosystem at College of Banking and Financial Studies and its work around oman higher-education institution focused on business, banking, finance and professional development, with innovation/entrepreneurship activity.</t>
  </si>
  <si>
    <t xml:space="preserve">Only a general college info inbox</t>
  </si>
  <si>
    <t xml:space="preserve">Muscat University</t>
  </si>
  <si>
    <t xml:space="preserve">Business &amp; entrepreneurship ecosystem</t>
  </si>
  <si>
    <t xml:space="preserve">Private university with business, logistics and technology programs and industry engagement.</t>
  </si>
  <si>
    <t xml:space="preserve">Muscat University Team</t>
  </si>
  <si>
    <t xml:space="preserve">University / business programs</t>
  </si>
  <si>
    <t xml:space="preserve">info@muscatuniversity.edu.om</t>
  </si>
  <si>
    <t xml:space="preserve">study@muscatuniversity.edu.om</t>
  </si>
  <si>
    <t xml:space="preserve">https://muscatuniversity.edu.om/</t>
  </si>
  <si>
    <t xml:space="preserve">https://muscatuniversity.edu.om/contact-us/</t>
  </si>
  <si>
    <t xml:space="preserve">External Advisor / Mentor – AI, Product &amp; Germany–GCC | Business &amp; entrepreneurship ecosystem</t>
  </si>
  <si>
    <t xml:space="preserve">I came across Business &amp; entrepreneurship ecosystem at Muscat University and its work around private university with business, logistics and technology programs and industry engagement.</t>
  </si>
  <si>
    <t xml:space="preserve">Only general university info/admissions inboxes</t>
  </si>
  <si>
    <t xml:space="preserve">Ash Sharqiyah South</t>
  </si>
  <si>
    <t xml:space="preserve">Sur</t>
  </si>
  <si>
    <t xml:space="preserve">University of Technology and Applied Sciences (UTAS) – Sur</t>
  </si>
  <si>
    <t xml:space="preserve">Entrepreneurship / applied technology ecosystem</t>
  </si>
  <si>
    <t xml:space="preserve">Applied-technology university branch with entrepreneurship and industry-facing academic activity.</t>
  </si>
  <si>
    <t xml:space="preserve">UTAS Sur Team</t>
  </si>
  <si>
    <t xml:space="preserve">University / entrepreneurship route</t>
  </si>
  <si>
    <t xml:space="preserve">pro.sur@utas.edu.om</t>
  </si>
  <si>
    <t xml:space="preserve">https://www.utas.edu.om/sur/</t>
  </si>
  <si>
    <t xml:space="preserve">External Advisor / Mentor – AI, Product &amp; Germany–GCC | University of Technology and Applied Sciences (UTAS) – Sur</t>
  </si>
  <si>
    <t xml:space="preserve">I came across Entrepreneurship / applied technology ecosystem at University of Technology and Applied Sciences (UTAS) – Sur and its work around applied-technology university branch with entrepreneurship and industry-facing academic activity.</t>
  </si>
  <si>
    <t xml:space="preserve">Only a public relations inbox</t>
  </si>
  <si>
    <t xml:space="preserve">Al Asimah</t>
  </si>
  <si>
    <t xml:space="preserve">Kuwait City</t>
  </si>
  <si>
    <t xml:space="preserve">National Fund for SME Development</t>
  </si>
  <si>
    <t xml:space="preserve">SME support, incubation &amp; accelerator ecosystem</t>
  </si>
  <si>
    <t xml:space="preserve">Kuwait government fund supporting SMEs through training, incubators, innovation centers, accelerators and support services.</t>
  </si>
  <si>
    <t xml:space="preserve">National Fund Team</t>
  </si>
  <si>
    <t xml:space="preserve">SME / entrepreneurship support</t>
  </si>
  <si>
    <t xml:space="preserve">Info@nationalfund.gov.kw</t>
  </si>
  <si>
    <t xml:space="preserve">136</t>
  </si>
  <si>
    <t xml:space="preserve">https://www.nationalfund.gov.kw/en/</t>
  </si>
  <si>
    <t xml:space="preserve">https://www.nationalfund.gov.kw/en/about-us/our-services/support-services-center/</t>
  </si>
  <si>
    <t xml:space="preserve">External Mentor / Advisor Support | National Fund for SME Development</t>
  </si>
  <si>
    <t xml:space="preserve">I came across SME support, incubation &amp; accelerator ecosystem at National Fund for SME Development and its work around kuwait government fund supporting smes through training, incubators, innovation centers, accelerators and support services.</t>
  </si>
  <si>
    <t xml:space="preserve">Top government ecosystem target.</t>
  </si>
  <si>
    <t xml:space="preserve">Kuwait University</t>
  </si>
  <si>
    <t xml:space="preserve">Department of Institutional Innovation / Kuwait University Innovation Zone</t>
  </si>
  <si>
    <t xml:space="preserve">University innovation platform supporting institutional innovation and entrepreneurship activities.</t>
  </si>
  <si>
    <t xml:space="preserve">KUIZ Team</t>
  </si>
  <si>
    <t xml:space="preserve">Institutional innovation</t>
  </si>
  <si>
    <t xml:space="preserve">kuiz@ku.edu.kw</t>
  </si>
  <si>
    <t xml:space="preserve">24982858 / 24983448</t>
  </si>
  <si>
    <t xml:space="preserve">https://kuiz.ku.edu.kw/</t>
  </si>
  <si>
    <t xml:space="preserve">https://kuiz.ku.edu.kw/contact-us</t>
  </si>
  <si>
    <t xml:space="preserve">External Advisor / Mentor – AI, Product &amp; Germany–GCC | Kuwait University</t>
  </si>
  <si>
    <t xml:space="preserve">I came across Department of Institutional Innovation / Kuwait University Innovation Zone at Kuwait University and its work around university innovation platform supporting institutional innovation and entrepreneurship activities.</t>
  </si>
  <si>
    <t xml:space="preserve">Strong university innovation route.</t>
  </si>
  <si>
    <t xml:space="preserve">Hawalli</t>
  </si>
  <si>
    <t xml:space="preserve">Mubarak Al-Abdullah</t>
  </si>
  <si>
    <t xml:space="preserve">Gulf University for Science and Technology (GUST)</t>
  </si>
  <si>
    <t xml:space="preserve">Startup Lab</t>
  </si>
  <si>
    <t xml:space="preserve">University startup lab supporting entrepreneurship, innovation and student venture activity.</t>
  </si>
  <si>
    <t xml:space="preserve">GUST Startup Lab Team</t>
  </si>
  <si>
    <t xml:space="preserve">Startup / entrepreneurship lab</t>
  </si>
  <si>
    <t xml:space="preserve">https://www.gust.edu.kw/sdg/sdg9</t>
  </si>
  <si>
    <t xml:space="preserve">https://www.gust.edu.kw/sdg/sdg4/4-3/4-3-1</t>
  </si>
  <si>
    <t xml:space="preserve">External Advisor / Mentor – AI, Product &amp; Germany–GCC | Startup Lab</t>
  </si>
  <si>
    <t xml:space="preserve">I came across Startup Lab at Gulf University for Science and Technology (GUST) and its work around university startup lab supporting entrepreneurship, innovation and student venture activity.</t>
  </si>
  <si>
    <t xml:space="preserve">Al Ahmadi</t>
  </si>
  <si>
    <t xml:space="preserve">Egaila</t>
  </si>
  <si>
    <t xml:space="preserve">American University of the Middle East (AUM)</t>
  </si>
  <si>
    <t xml:space="preserve">AI &amp; Entrepreneurship / MBA ecosystem</t>
  </si>
  <si>
    <t xml:space="preserve">University offering entrepreneurship and AI-focused executive/academic programs and business education.</t>
  </si>
  <si>
    <t xml:space="preserve">AUM Team</t>
  </si>
  <si>
    <t xml:space="preserve">AI / entrepreneurship program</t>
  </si>
  <si>
    <t xml:space="preserve">info@aum.edu.kw</t>
  </si>
  <si>
    <t xml:space="preserve">MBA.admissions@aum.edu.kw</t>
  </si>
  <si>
    <t xml:space="preserve">+965 2225 1400</t>
  </si>
  <si>
    <t xml:space="preserve">https://www.aum.edu.kw/</t>
  </si>
  <si>
    <t xml:space="preserve">https://www.aum.edu.kw/english/about-aum/international-relations/aum---uc-berkeley-certification-program-in-ai-and-entrepreneurship</t>
  </si>
  <si>
    <t xml:space="preserve">External Advisor / Mentor – AI, Product &amp; Germany–GCC | AI &amp; Entrepreneurship / MBA ecosystem</t>
  </si>
  <si>
    <t xml:space="preserve">I came across AI &amp; Entrepreneurship / MBA ecosystem at American University of the Middle East (AUM) and its work around university offering entrepreneurship and ai-focused executive/academic programs and business education.</t>
  </si>
  <si>
    <t xml:space="preserve">Only general info/admissions inboxes</t>
  </si>
  <si>
    <t xml:space="preserve">Salmiya</t>
  </si>
  <si>
    <t xml:space="preserve">American University of Kuwait (AUK)</t>
  </si>
  <si>
    <t xml:space="preserve">College of Business &amp; Economics</t>
  </si>
  <si>
    <t xml:space="preserve">Business school with entrepreneurship, innovation and management teaching/research.</t>
  </si>
  <si>
    <t xml:space="preserve">Dr. Naeimah Alkharafi</t>
  </si>
  <si>
    <t xml:space="preserve">Entrepreneurship / business faculty</t>
  </si>
  <si>
    <t xml:space="preserve">nalkharafi@auk.edu.kw</t>
  </si>
  <si>
    <t xml:space="preserve">cbe@auk.edu.kw</t>
  </si>
  <si>
    <t xml:space="preserve">https://www.auk.edu.kw/academics/college-of-business-economics</t>
  </si>
  <si>
    <t xml:space="preserve">External Advisor / Mentor – AI, Product &amp; Germany–GCC | College of Business &amp; Economics</t>
  </si>
  <si>
    <t xml:space="preserve">I came across College of Business &amp; Economics at American University of Kuwait (AUK) and its work around business school with entrepreneurship, innovation and management teaching/research.</t>
  </si>
  <si>
    <t xml:space="preserve">Named faculty route; good mentor/guest speaker entry.</t>
  </si>
  <si>
    <t xml:space="preserve">Sirdab Lab</t>
  </si>
  <si>
    <t xml:space="preserve">Startup accelerator / entrepreneurship community</t>
  </si>
  <si>
    <t xml:space="preserve">Kuwait entrepreneurship platform providing startup programs, training and ecosystem support.</t>
  </si>
  <si>
    <t xml:space="preserve">Sirdab Lab Team</t>
  </si>
  <si>
    <t xml:space="preserve">Startup programs</t>
  </si>
  <si>
    <t xml:space="preserve">info@sirdab-lab.com</t>
  </si>
  <si>
    <t xml:space="preserve">+965 9776 8939</t>
  </si>
  <si>
    <t xml:space="preserve">https://sirdab-lab.com/</t>
  </si>
  <si>
    <t xml:space="preserve">External Advisor / Mentor – AI, Product &amp; Germany–GCC | Sirdab Lab</t>
  </si>
  <si>
    <t xml:space="preserve">I came across Startup accelerator / entrepreneurship community at Sirdab Lab and its work around kuwait entrepreneurship platform providing startup programs, training and ecosystem support.</t>
  </si>
  <si>
    <t xml:space="preserve">Kuwait Innovation Center</t>
  </si>
  <si>
    <t xml:space="preserve">Innovation platform supporting entrepreneurship, innovation programs and business development.</t>
  </si>
  <si>
    <t xml:space="preserve">Mohammad AlRefaei</t>
  </si>
  <si>
    <t xml:space="preserve">info@kinncenter.com</t>
  </si>
  <si>
    <t xml:space="preserve">+965 9409 0194</t>
  </si>
  <si>
    <t xml:space="preserve">https://www.kinncenter.com/</t>
  </si>
  <si>
    <t xml:space="preserve">https://www.kinncenter.com/contactus</t>
  </si>
  <si>
    <t xml:space="preserve">External Advisor / Mentor – AI, Product &amp; Germany–GCC | Innovation Center</t>
  </si>
  <si>
    <t xml:space="preserve">I came across Innovation Center at Kuwait Innovation Center and its work around innovation platform supporting entrepreneurship, innovation programs and business development.</t>
  </si>
  <si>
    <t xml:space="preserve">Named CEO with functional email.</t>
  </si>
  <si>
    <t xml:space="preserve">Kuwait Foundation for the Advancement of Sciences (KFAS)</t>
  </si>
  <si>
    <t xml:space="preserve">Innovation &amp; Enterprise</t>
  </si>
  <si>
    <t xml:space="preserve">National science and innovation foundation supporting enterprise innovation and commercialization programs.</t>
  </si>
  <si>
    <t xml:space="preserve">Innovation &amp; Enterprise Team</t>
  </si>
  <si>
    <t xml:space="preserve">Enterprise support</t>
  </si>
  <si>
    <t xml:space="preserve">enterprisesupport@kfas.org.kw</t>
  </si>
  <si>
    <t xml:space="preserve">https://www.kfas.org/</t>
  </si>
  <si>
    <t xml:space="preserve">https://app.kfas.org.kw/coFunding%20Support%20Form/Form1.aspx</t>
  </si>
  <si>
    <t xml:space="preserve">External Mentor / Advisor Support | Innovation &amp; Enterprise</t>
  </si>
  <si>
    <t xml:space="preserve">I came across Innovation &amp; Enterprise at Kuwait Foundation for the Advancement of Sciences (KFAS) and its work around national science and innovation foundation supporting enterprise innovation and commercialization programs.</t>
  </si>
  <si>
    <t xml:space="preserve">Strong innovation/commercialization and corporate ecosystem target.</t>
  </si>
  <si>
    <t xml:space="preserve">Capital Governorate</t>
  </si>
  <si>
    <t xml:space="preserve">Manama</t>
  </si>
  <si>
    <t xml:space="preserve">Tamkeen – Labour Fund</t>
  </si>
  <si>
    <t xml:space="preserve">Entrepreneurship &amp; enterprise support</t>
  </si>
  <si>
    <t xml:space="preserve">Bahrain public-sector institution supporting enterprise growth, skills, entrepreneurship and business development.</t>
  </si>
  <si>
    <t xml:space="preserve">Tamkeen Team</t>
  </si>
  <si>
    <t xml:space="preserve">support@tamkeen.bh</t>
  </si>
  <si>
    <t xml:space="preserve">info@tamkeen.bh</t>
  </si>
  <si>
    <t xml:space="preserve">+973 1738 3333</t>
  </si>
  <si>
    <t xml:space="preserve">https://www.tamkeen.bh/</t>
  </si>
  <si>
    <t xml:space="preserve">External Mentor / Advisor Support | Entrepreneurship &amp; enterprise support</t>
  </si>
  <si>
    <t xml:space="preserve">I came across Entrepreneurship &amp; enterprise support at Tamkeen – Labour Fund and its work around bahrain public-sector institution supporting enterprise growth, skills, entrepreneurship and business development.</t>
  </si>
  <si>
    <t xml:space="preserve">Top public ecosystem route; pitch mentor capacity building and international connections.</t>
  </si>
  <si>
    <t xml:space="preserve">Bahrain Economic Development Board (Bahrain EDB)</t>
  </si>
  <si>
    <t xml:space="preserve">Investment &amp; innovation ecosystem</t>
  </si>
  <si>
    <t xml:space="preserve">Bahrain investment promotion agency supporting companies, market entry and stakeholder introductions across growth sectors.</t>
  </si>
  <si>
    <t xml:space="preserve">Bahrain EDB Team</t>
  </si>
  <si>
    <t xml:space="preserve">Investment / ecosystem team</t>
  </si>
  <si>
    <t xml:space="preserve">hello@bahrainedb.com</t>
  </si>
  <si>
    <t xml:space="preserve">+973 1758 9999</t>
  </si>
  <si>
    <t xml:space="preserve">https://www.bahrainedb.com/</t>
  </si>
  <si>
    <t xml:space="preserve">https://www.bahrainedb.com/contact-us</t>
  </si>
  <si>
    <t xml:space="preserve">External Mentor / Advisor Support | Investment &amp; innovation ecosystem</t>
  </si>
  <si>
    <t xml:space="preserve">I came across Investment &amp; innovation ecosystem at Bahrain Economic Development Board (Bahrain EDB) and its work around bahrain investment promotion agency supporting companies, market entry and stakeholder introductions across growth sectors.</t>
  </si>
  <si>
    <t xml:space="preserve">Berlin/Germany base creates a strong international ecosystem angle.</t>
  </si>
  <si>
    <t xml:space="preserve">StartUp Bahrain</t>
  </si>
  <si>
    <t xml:space="preserve">Bahrain startup community platform connecting founders, programs, partners and ecosystem contributors.</t>
  </si>
  <si>
    <t xml:space="preserve">StartUp Bahrain Team</t>
  </si>
  <si>
    <t xml:space="preserve">Partnership / ecosystem team</t>
  </si>
  <si>
    <t xml:space="preserve">help@startupbahrain.com</t>
  </si>
  <si>
    <t xml:space="preserve">contact@startupbahrain.com</t>
  </si>
  <si>
    <t xml:space="preserve">https://startupbahrain.com/</t>
  </si>
  <si>
    <t xml:space="preserve">https://startupbahrain.com/contact</t>
  </si>
  <si>
    <t xml:space="preserve">External Advisor / Mentor – AI, Product &amp; Germany–GCC | National startup ecosystem platform</t>
  </si>
  <si>
    <t xml:space="preserve">I came across National startup ecosystem platform at StartUp Bahrain and its work around bahrain startup community platform connecting founders, programs, partners and ecosystem contributors.</t>
  </si>
  <si>
    <t xml:space="preserve">Bahrain FinTech Bay</t>
  </si>
  <si>
    <t xml:space="preserve">Fintech ecosystem &amp; acceleration</t>
  </si>
  <si>
    <t xml:space="preserve">Bahrain fintech hub supporting international fintechs, partnerships, acceleration and GCC/MENA expansion.</t>
  </si>
  <si>
    <t xml:space="preserve">Bader Sater</t>
  </si>
  <si>
    <t xml:space="preserve">info@bahrainfintechbay.com</t>
  </si>
  <si>
    <t xml:space="preserve">https://www.bahrainfintechbay.com/team</t>
  </si>
  <si>
    <t xml:space="preserve">https://www.bahrainfintechbay.com/contact-us</t>
  </si>
  <si>
    <t xml:space="preserve">External Advisor / Mentor – AI, Product &amp; Germany–GCC | Fintech ecosystem &amp; acceleration</t>
  </si>
  <si>
    <t xml:space="preserve">I came across Fintech ecosystem &amp; acceleration at Bahrain FinTech Bay and its work around bahrain fintech hub supporting international fintechs, partnerships, acceleration and gcc/mena expansion.</t>
  </si>
  <si>
    <t xml:space="preserve">Strong enterprise/fintech/market-access mentoring angle.</t>
  </si>
  <si>
    <t xml:space="preserve">Acceleration Programs</t>
  </si>
  <si>
    <t xml:space="preserve">Bahrain FinTech Bay acceleration function supporting startup growth and innovation programs.</t>
  </si>
  <si>
    <t xml:space="preserve">Ameera Mohamed</t>
  </si>
  <si>
    <t xml:space="preserve">Manager, Acceleration Programs</t>
  </si>
  <si>
    <t xml:space="preserve">External Advisor / Mentor – AI, Product &amp; Germany–GCC | Acceleration Programs</t>
  </si>
  <si>
    <t xml:space="preserve">I came across Acceleration Programs at Bahrain FinTech Bay and its work around bahrain fintech bay acceleration function supporting startup growth and innovation programs.</t>
  </si>
  <si>
    <t xml:space="preserve">Bahrain FinTech Bay covered by one email to same inbox</t>
  </si>
  <si>
    <t xml:space="preserve">Tenmou – Bahrain Business Angels Company</t>
  </si>
  <si>
    <t xml:space="preserve">MENA Angel Investors Summit / startup ecosystem</t>
  </si>
  <si>
    <t xml:space="preserve">Bahrain angel-investment ecosystem convening startups, investors and partners across the MENA region.</t>
  </si>
  <si>
    <t xml:space="preserve">Tenmou Summit Team</t>
  </si>
  <si>
    <t xml:space="preserve">Partnership / investor ecosystem</t>
  </si>
  <si>
    <t xml:space="preserve">menasummit@tenmou.me</t>
  </si>
  <si>
    <t xml:space="preserve">+973 3322 8028</t>
  </si>
  <si>
    <t xml:space="preserve">https://tenmou.me/</t>
  </si>
  <si>
    <t xml:space="preserve">https://tenmou.me/mena-angel-investors-summit-2026-2/</t>
  </si>
  <si>
    <t xml:space="preserve">External Advisor / Mentor – AI, Product &amp; Germany–GCC | Tenmou – Bahrain Business Angels Company</t>
  </si>
  <si>
    <t xml:space="preserve">I came across MENA Angel Investors Summit / startup ecosystem at Tenmou – Bahrain Business Angels Company and its work around bahrain angel-investment ecosystem convening startups, investors and partners across the mena region.</t>
  </si>
  <si>
    <t xml:space="preserve">Current 2026 summit explicitly accepts partnership conversations.</t>
  </si>
  <si>
    <t xml:space="preserve">Hope Ventures</t>
  </si>
  <si>
    <t xml:space="preserve">Beban / venture ecosystem</t>
  </si>
  <si>
    <t xml:space="preserve">Bahrain venture platform supporting scalable startups through investment, acceleration and ecosystem exposure.</t>
  </si>
  <si>
    <t xml:space="preserve">Latifa Mohammed</t>
  </si>
  <si>
    <t xml:space="preserve">General Manager</t>
  </si>
  <si>
    <t xml:space="preserve">https://www.hopefund.bh/about-hope-ventures</t>
  </si>
  <si>
    <t xml:space="preserve">https://www.hopefund.bh/</t>
  </si>
  <si>
    <t xml:space="preserve">External Advisor / Mentor – AI, Product &amp; Germany–GCC | Beban / venture ecosystem</t>
  </si>
  <si>
    <t xml:space="preserve">I came across Beban / venture ecosystem at Hope Ventures and its work around bahrain venture platform supporting scalable startups through investment, acceleration and ecosystem exposure.</t>
  </si>
  <si>
    <t xml:space="preserve">Southern Governorate</t>
  </si>
  <si>
    <t xml:space="preserve">Sakhir</t>
  </si>
  <si>
    <t xml:space="preserve">University of Bahrain</t>
  </si>
  <si>
    <t xml:space="preserve">Bahrain Innovation &amp; Technology Transfer Center (BITTC)</t>
  </si>
  <si>
    <t xml:space="preserve">University technology transfer center helping commercialize research and facilitate startup incubation.</t>
  </si>
  <si>
    <t xml:space="preserve">BITTC Team</t>
  </si>
  <si>
    <t xml:space="preserve">Innovation &amp; technology transfer</t>
  </si>
  <si>
    <t xml:space="preserve">bittc@uob.edu.bh</t>
  </si>
  <si>
    <t xml:space="preserve">https://www.uob.edu.bh/our-centers/bittc/</t>
  </si>
  <si>
    <t xml:space="preserve">External Advisor / Mentor – AI, Product &amp; Germany–GCC | University of Bahrain</t>
  </si>
  <si>
    <t xml:space="preserve">I came across Bahrain Innovation &amp; Technology Transfer Center (BITTC) at University of Bahrain and its work around university technology transfer center helping commercialize research and facilitate startup incubation.</t>
  </si>
  <si>
    <t xml:space="preserve">Strong commercialization/advisor fit and current public email.</t>
  </si>
  <si>
    <t xml:space="preserve">Isa Town</t>
  </si>
  <si>
    <t xml:space="preserve">Bahrain Polytechnic</t>
  </si>
  <si>
    <t xml:space="preserve">Innovation Centre</t>
  </si>
  <si>
    <t xml:space="preserve">Applied university innovation ecosystem with startup/demo-day activity and an explicit mentor community.</t>
  </si>
  <si>
    <t xml:space="preserve">Innovation Centre Team</t>
  </si>
  <si>
    <t xml:space="preserve">Innovation / entrepreneurship team</t>
  </si>
  <si>
    <t xml:space="preserve">https://www.polytechnic.bh/research/</t>
  </si>
  <si>
    <t xml:space="preserve">https://www.polytechnic.bh/startup-demo-day-2026/</t>
  </si>
  <si>
    <t xml:space="preserve">External Advisor / Mentor – AI, Product &amp; Germany–GCC | Innovation Centre</t>
  </si>
  <si>
    <t xml:space="preserve">I came across Innovation Centre at Bahrain Polytechnic and its work around applied university innovation ecosystem with startup/demo-day activity and an explicit mentor community.</t>
  </si>
  <si>
    <t xml:space="preserve">Salmaniya</t>
  </si>
  <si>
    <t xml:space="preserve">University of Technology Bahrain (UTB)</t>
  </si>
  <si>
    <t xml:space="preserve">Innovation &amp; industry partnership ecosystem</t>
  </si>
  <si>
    <t xml:space="preserve">Technology university offering partnership opportunities spanning innovation, entrepreneurship and industry collaboration.</t>
  </si>
  <si>
    <t xml:space="preserve">UTB Team</t>
  </si>
  <si>
    <t xml:space="preserve">info@utb.edu.bh</t>
  </si>
  <si>
    <t xml:space="preserve">+973 1778 7978</t>
  </si>
  <si>
    <t xml:space="preserve">https://www.utb.edu.bh/</t>
  </si>
  <si>
    <t xml:space="preserve">https://www.utb.edu.bh/partner-with-us/</t>
  </si>
  <si>
    <t xml:space="preserve">External Advisor / Mentor – AI, Product &amp; Germany–GCC | University of Technology Bahrain (UTB)</t>
  </si>
  <si>
    <t xml:space="preserve">I came across Innovation &amp; industry partnership ecosystem at University of Technology Bahrain (UTB) and its work around technology university offering partnership opportunities spanning innovation, entrepreneurship and industry collaboration.</t>
  </si>
  <si>
    <t xml:space="preserve">Only a general university info inbox</t>
  </si>
  <si>
    <t xml:space="preserve">Brinc / Batelco</t>
  </si>
  <si>
    <t xml:space="preserve">Brinc Batelco IoT Hub</t>
  </si>
  <si>
    <t xml:space="preserve">Accelerator focused on connected hardware, IoT and technology ventures in Bahrain.</t>
  </si>
  <si>
    <t xml:space="preserve">Brinc Bahrain Team</t>
  </si>
  <si>
    <t xml:space="preserve">https://web.brinc.io/brinc-batelco-iot-hub/</t>
  </si>
  <si>
    <t xml:space="preserve">External Advisor / Mentor – AI, Product &amp; Germany–GCC | Brinc Batelco IoT Hub</t>
  </si>
  <si>
    <t xml:space="preserve">I came across Brinc Batelco IoT Hub at Brinc / Batelco and its work around accelerator focused on connected hardware, iot and technology ventures in bahrain.</t>
  </si>
  <si>
    <t xml:space="preserve">Region</t>
  </si>
  <si>
    <t xml:space="preserve">Organisation</t>
  </si>
  <si>
    <t xml:space="preserve">Program / Unit</t>
  </si>
  <si>
    <t xml:space="preserve">Alternate Email</t>
  </si>
  <si>
    <t xml:space="preserve">Profile / Contact URL</t>
  </si>
  <si>
    <t xml:space="preserve">Not Contacted</t>
  </si>
  <si>
    <t xml:space="preserve">No direct public outreach email verified; use official contact route.</t>
  </si>
  <si>
    <t xml:space="preserve">Use partnership enquiry route; do not use technical-support email for outreach.</t>
  </si>
  <si>
    <t xml:space="preserve">Use center contact route; public direct email not verified.</t>
  </si>
  <si>
    <t xml:space="preserve">No direct public email verified in current page; use university directory/contact route.</t>
  </si>
  <si>
    <t xml:space="preserve">Use official university enquiry route; direct public center email not verified.</t>
  </si>
  <si>
    <t xml:space="preserve">High-value target; no current official outreach email verified, use program contact/application route.</t>
  </si>
  <si>
    <t xml:space="preserve">High-value but current public email not reliably verified; use official contact form.</t>
  </si>
  <si>
    <t xml:space="preserve">Public direct Startup Lab email not verified; use GUST contact route.</t>
  </si>
  <si>
    <t xml:space="preserve">More direct operational contact angle for mentor programs.</t>
  </si>
  <si>
    <t xml:space="preserve">High-value target; no suitable public outreach email verified, use official contact route.</t>
  </si>
  <si>
    <t xml:space="preserve">Excellent target because mentor participation is explicitly part of the ecosystem; use official contact route.</t>
  </si>
  <si>
    <t xml:space="preserve">Strong technology mentor fit; current public direct email not verified.</t>
  </si>
  <si>
    <t xml:space="preserve">Gulf External Advisor / Mentor Email – Core Template</t>
  </si>
  <si>
    <t xml:space="preserve">Field</t>
  </si>
  <si>
    <t xml:space="preserve">Recommended content</t>
  </si>
  <si>
    <t xml:space="preserve">Subject</t>
  </si>
  <si>
    <t xml:space="preserve">External Advisor / Mentor – [Program / Organisation]</t>
  </si>
  <si>
    <t xml:space="preserve">Greeting</t>
  </si>
  <si>
    <t xml:space="preserve">Dear [Name],</t>
  </si>
  <si>
    <t xml:space="preserve">Personalized opening</t>
  </si>
  <si>
    <t xml:space="preserve">I came across [specific program/initiative] and wanted to explore whether I could contribute as an external advisor or mentor.</t>
  </si>
  <si>
    <t xml:space="preserve">Who you are</t>
  </si>
  <si>
    <t xml:space="preserve">I’m Madhiyazhagan Ramamoorthy, based in Berlin, with 16+ years of experience across India, the UAE and Germany in technology delivery, AI, digital transformation and product execution.</t>
  </si>
  <si>
    <t xml:space="preserve">Relevant contribution</t>
  </si>
  <si>
    <t xml:space="preserve">Alongside my professional work, I mentor founders and contribute to startup and university initiatives. I could support founders around [pick 2–3: AI/product strategy, enterprise readiness, GTM, commercialization, founder mentoring, Germany/Europe market access].</t>
  </si>
  <si>
    <t xml:space="preserve">Gulf angle</t>
  </si>
  <si>
    <t xml:space="preserve">For GCC targets, use your previous UAE experience and current Berlin base only when relevant; do not overload the email with biography.</t>
  </si>
  <si>
    <t xml:space="preserve">CTA</t>
  </si>
  <si>
    <t xml:space="preserve">Would you be open to a short introductory conversation to see whether this could be useful for your founders or current programs?</t>
  </si>
  <si>
    <t xml:space="preserve">Close</t>
  </si>
  <si>
    <t xml:space="preserve">Best regards,
Madhiyazhagan Ramamoorthy
Berlin, Germany
LinkedIn: linkedin.com/in/madhi-pm-scrum-qa/</t>
  </si>
  <si>
    <t xml:space="preserve">Length rule</t>
  </si>
  <si>
    <t xml:space="preserve">Aim for 90–140 words. The first 1–2 sentences should be institution-specific.</t>
  </si>
  <si>
    <t xml:space="preserve">Approach rule</t>
  </si>
  <si>
    <t xml:space="preserve">Ask to contribute as advisor/mentor/mentor-panel member/ecosystem partner — not for a job.</t>
  </si>
</sst>
</file>

<file path=xl/styles.xml><?xml version="1.0" encoding="utf-8"?>
<styleSheet xmlns="http://schemas.openxmlformats.org/spreadsheetml/2006/main">
  <numFmts count="2">
    <numFmt numFmtId="164" formatCode="General"/>
    <numFmt numFmtId="165" formatCode="yyyy\-mm\-dd"/>
  </numFmts>
  <fonts count="11">
    <font>
      <sz val="10"/>
      <name val="Arial"/>
      <family val="2"/>
      <charset val="1"/>
    </font>
    <font>
      <sz val="10"/>
      <name val="Arial"/>
      <family val="0"/>
    </font>
    <font>
      <sz val="10"/>
      <name val="Arial"/>
      <family val="0"/>
    </font>
    <font>
      <sz val="10"/>
      <name val="Arial"/>
      <family val="0"/>
    </font>
    <font>
      <b val="true"/>
      <sz val="16"/>
      <color rgb="FFFFFFFF"/>
      <name val="Aptos"/>
      <family val="0"/>
      <charset val="1"/>
    </font>
    <font>
      <sz val="10"/>
      <color rgb="FF1F2937"/>
      <name val="Aptos"/>
      <family val="0"/>
      <charset val="1"/>
    </font>
    <font>
      <i val="true"/>
      <sz val="10"/>
      <color rgb="FF1F2937"/>
      <name val="Aptos"/>
      <family val="0"/>
      <charset val="1"/>
    </font>
    <font>
      <b val="true"/>
      <sz val="10"/>
      <color rgb="FFFFFFFF"/>
      <name val="Aptos"/>
      <family val="0"/>
      <charset val="1"/>
    </font>
    <font>
      <b val="true"/>
      <sz val="18"/>
      <color rgb="FF000000"/>
      <name val="Calibri"/>
      <family val="2"/>
    </font>
    <font>
      <sz val="10"/>
      <color rgb="FF000000"/>
      <name val="Calibri"/>
      <family val="2"/>
    </font>
    <font>
      <b val="true"/>
      <sz val="15"/>
      <color rgb="FFFFFFFF"/>
      <name val="Aptos"/>
      <family val="0"/>
      <charset val="1"/>
    </font>
  </fonts>
  <fills count="5">
    <fill>
      <patternFill patternType="none"/>
    </fill>
    <fill>
      <patternFill patternType="gray125"/>
    </fill>
    <fill>
      <patternFill patternType="solid">
        <fgColor rgb="FF17324D"/>
        <bgColor rgb="FF1F2937"/>
      </patternFill>
    </fill>
    <fill>
      <patternFill patternType="solid">
        <fgColor rgb="FFE8F0FE"/>
        <bgColor rgb="FFE6F4EA"/>
      </patternFill>
    </fill>
    <fill>
      <patternFill patternType="solid">
        <fgColor rgb="FF0F766E"/>
        <bgColor rgb="FF15608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7" fillId="4" borderId="0" xfId="0" applyFont="true" applyBorder="fals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7324D"/>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E6F4EA"/>
          <bgColor rgb="FF000000"/>
        </patternFill>
      </fill>
    </dxf>
    <dxf>
      <fill>
        <patternFill patternType="solid">
          <fgColor rgb="FFFCE8E6"/>
          <bgColor rgb="FF000000"/>
        </patternFill>
      </fill>
    </dxf>
    <dxf>
      <fill>
        <patternFill patternType="solid">
          <fgColor rgb="FFFFF4CC"/>
          <bgColor rgb="FF000000"/>
        </patternFill>
      </fill>
    </dxf>
    <dxf>
      <fill>
        <patternFill patternType="solid">
          <fgColor rgb="FFE8F0FE"/>
          <bgColor rgb="FF000000"/>
        </patternFill>
      </fill>
    </dxf>
    <dxf>
      <font>
        <b val="1"/>
      </font>
      <fill>
        <patternFill>
          <bgColor rgb="FFE6F4EA"/>
        </patternFill>
      </fill>
    </dxf>
    <dxf>
      <fill>
        <patternFill>
          <bgColor rgb="FFFFF4CC"/>
        </patternFill>
      </fill>
    </dxf>
    <dxf>
      <fill>
        <patternFill>
          <bgColor rgb="FFFCE8E6"/>
        </patternFill>
      </fill>
    </dxf>
    <dxf>
      <fill>
        <patternFill>
          <bgColor rgb="FFE8F0FE"/>
        </patternFill>
      </fill>
    </dxf>
    <dxf>
      <fill>
        <patternFill patternType="solid">
          <fgColor rgb="FF0F766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CCCCC"/>
      <rgbColor rgb="FF8B8B8B"/>
      <rgbColor rgb="FF9999FF"/>
      <rgbColor rgb="FF993366"/>
      <rgbColor rgb="FFFFF4CC"/>
      <rgbColor rgb="FFE6F4EA"/>
      <rgbColor rgb="FF660066"/>
      <rgbColor rgb="FFFF8080"/>
      <rgbColor rgb="FF0066CC"/>
      <rgbColor rgb="FFD9D9D9"/>
      <rgbColor rgb="FF000080"/>
      <rgbColor rgb="FFFF00FF"/>
      <rgbColor rgb="FFFFFF00"/>
      <rgbColor rgb="FF00FFFF"/>
      <rgbColor rgb="FF800080"/>
      <rgbColor rgb="FF800000"/>
      <rgbColor rgb="FF156082"/>
      <rgbColor rgb="FF0000FF"/>
      <rgbColor rgb="FF00CCFF"/>
      <rgbColor rgb="FFE8F0FE"/>
      <rgbColor rgb="FFCCFFCC"/>
      <rgbColor rgb="FFFCE8E6"/>
      <rgbColor rgb="FF99CCFF"/>
      <rgbColor rgb="FFFF99CC"/>
      <rgbColor rgb="FFCC99FF"/>
      <rgbColor rgb="FFFFCC99"/>
      <rgbColor rgb="FF3366FF"/>
      <rgbColor rgb="FF33CCCC"/>
      <rgbColor rgb="FF99CC00"/>
      <rgbColor rgb="FFFFCC00"/>
      <rgbColor rgb="FFFF9900"/>
      <rgbColor rgb="FFE97132"/>
      <rgbColor rgb="FF666699"/>
      <rgbColor rgb="FF969696"/>
      <rgbColor rgb="FF17324D"/>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Targets by Country</a:t>
            </a:r>
          </a:p>
        </c:rich>
      </c:tx>
      <c:overlay val="0"/>
      <c:spPr>
        <a:noFill/>
        <a:ln w="0">
          <a:noFill/>
        </a:ln>
      </c:spPr>
    </c:title>
    <c:autoTitleDeleted val="0"/>
    <c:plotArea>
      <c:barChart>
        <c:barDir val="col"/>
        <c:grouping val="clustered"/>
        <c:varyColors val="0"/>
        <c:ser>
          <c:idx val="0"/>
          <c:order val="0"/>
          <c:tx>
            <c:strRef>
              <c:f>"Targets"</c:f>
              <c:strCache>
                <c:ptCount val="1"/>
                <c:pt idx="0">
                  <c:v>Targets</c:v>
                </c:pt>
              </c:strCache>
            </c:strRef>
          </c:tx>
          <c:spPr>
            <a:solidFill>
              <a:srgbClr val="156082"/>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Dashboard!$A$16:$A$20</c:f>
              <c:strCache>
                <c:ptCount val="5"/>
                <c:pt idx="0">
                  <c:v>UAE</c:v>
                </c:pt>
                <c:pt idx="1">
                  <c:v>Saudi Arabia</c:v>
                </c:pt>
                <c:pt idx="2">
                  <c:v>Oman</c:v>
                </c:pt>
                <c:pt idx="3">
                  <c:v>Kuwait</c:v>
                </c:pt>
                <c:pt idx="4">
                  <c:v>Bahrain</c:v>
                </c:pt>
              </c:strCache>
            </c:strRef>
          </c:cat>
          <c:val>
            <c:numRef>
              <c:f>Dashboard!$B$16:$B$20</c:f>
              <c:numCache>
                <c:formatCode>General</c:formatCode>
                <c:ptCount val="5"/>
                <c:pt idx="0">
                  <c:v>19</c:v>
                </c:pt>
                <c:pt idx="1">
                  <c:v>16</c:v>
                </c:pt>
                <c:pt idx="2">
                  <c:v>11</c:v>
                </c:pt>
                <c:pt idx="3">
                  <c:v>8</c:v>
                </c:pt>
                <c:pt idx="4">
                  <c:v>11</c:v>
                </c:pt>
              </c:numCache>
            </c:numRef>
          </c:val>
        </c:ser>
        <c:gapWidth val="150"/>
        <c:overlap val="0"/>
        <c:axId val="81898005"/>
        <c:axId val="2921459"/>
      </c:barChart>
      <c:catAx>
        <c:axId val="8189800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2921459"/>
        <c:crosses val="autoZero"/>
        <c:auto val="1"/>
        <c:lblAlgn val="ctr"/>
        <c:lblOffset val="100"/>
        <c:noMultiLvlLbl val="0"/>
      </c:catAx>
      <c:valAx>
        <c:axId val="2921459"/>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189800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Email Coverage by Country</a:t>
            </a:r>
          </a:p>
        </c:rich>
      </c:tx>
      <c:overlay val="0"/>
      <c:spPr>
        <a:noFill/>
        <a:ln w="0">
          <a:noFill/>
        </a:ln>
      </c:spPr>
    </c:title>
    <c:autoTitleDeleted val="0"/>
    <c:plotArea>
      <c:barChart>
        <c:barDir val="col"/>
        <c:grouping val="clustered"/>
        <c:varyColors val="0"/>
        <c:ser>
          <c:idx val="0"/>
          <c:order val="0"/>
          <c:tx>
            <c:strRef>
              <c:f>"Total"</c:f>
              <c:strCache>
                <c:ptCount val="1"/>
                <c:pt idx="0">
                  <c:v>Total</c:v>
                </c:pt>
              </c:strCache>
            </c:strRef>
          </c:tx>
          <c:spPr>
            <a:solidFill>
              <a:srgbClr val="156082"/>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Dashboard!$D$16:$D$20</c:f>
              <c:strCache>
                <c:ptCount val="5"/>
                <c:pt idx="0">
                  <c:v>UAE</c:v>
                </c:pt>
                <c:pt idx="1">
                  <c:v>Saudi Arabia</c:v>
                </c:pt>
                <c:pt idx="2">
                  <c:v>Oman</c:v>
                </c:pt>
                <c:pt idx="3">
                  <c:v>Kuwait</c:v>
                </c:pt>
                <c:pt idx="4">
                  <c:v>Bahrain</c:v>
                </c:pt>
              </c:strCache>
            </c:strRef>
          </c:cat>
          <c:val>
            <c:numRef>
              <c:f>Dashboard!$E$16:$E$20</c:f>
              <c:numCache>
                <c:formatCode>General</c:formatCode>
                <c:ptCount val="5"/>
                <c:pt idx="0">
                  <c:v>19</c:v>
                </c:pt>
                <c:pt idx="1">
                  <c:v>16</c:v>
                </c:pt>
                <c:pt idx="2">
                  <c:v>11</c:v>
                </c:pt>
                <c:pt idx="3">
                  <c:v>8</c:v>
                </c:pt>
                <c:pt idx="4">
                  <c:v>11</c:v>
                </c:pt>
              </c:numCache>
            </c:numRef>
          </c:val>
        </c:ser>
        <c:ser>
          <c:idx val="1"/>
          <c:order val="1"/>
          <c:tx>
            <c:strRef>
              <c:f>"With Email"</c:f>
              <c:strCache>
                <c:ptCount val="1"/>
                <c:pt idx="0">
                  <c:v>With Email</c:v>
                </c:pt>
              </c:strCache>
            </c:strRef>
          </c:tx>
          <c:spPr>
            <a:solidFill>
              <a:srgbClr val="e97132"/>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Dashboard!$D$16:$D$20</c:f>
              <c:strCache>
                <c:ptCount val="5"/>
                <c:pt idx="0">
                  <c:v>UAE</c:v>
                </c:pt>
                <c:pt idx="1">
                  <c:v>Saudi Arabia</c:v>
                </c:pt>
                <c:pt idx="2">
                  <c:v>Oman</c:v>
                </c:pt>
                <c:pt idx="3">
                  <c:v>Kuwait</c:v>
                </c:pt>
                <c:pt idx="4">
                  <c:v>Bahrain</c:v>
                </c:pt>
              </c:strCache>
            </c:strRef>
          </c:cat>
          <c:val>
            <c:numRef>
              <c:f>Dashboard!$F$16:$F$20</c:f>
              <c:numCache>
                <c:formatCode>General</c:formatCode>
                <c:ptCount val="5"/>
                <c:pt idx="0">
                  <c:v>15</c:v>
                </c:pt>
                <c:pt idx="1">
                  <c:v>13</c:v>
                </c:pt>
                <c:pt idx="2">
                  <c:v>11</c:v>
                </c:pt>
                <c:pt idx="3">
                  <c:v>7</c:v>
                </c:pt>
                <c:pt idx="4">
                  <c:v>8</c:v>
                </c:pt>
              </c:numCache>
            </c:numRef>
          </c:val>
        </c:ser>
        <c:gapWidth val="150"/>
        <c:overlap val="0"/>
        <c:axId val="24648147"/>
        <c:axId val="41135790"/>
      </c:barChart>
      <c:catAx>
        <c:axId val="24648147"/>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1135790"/>
        <c:crosses val="autoZero"/>
        <c:auto val="1"/>
        <c:lblAlgn val="ctr"/>
        <c:lblOffset val="100"/>
        <c:noMultiLvlLbl val="0"/>
      </c:catAx>
      <c:valAx>
        <c:axId val="41135790"/>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2464814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13</xdr:col>
      <xdr:colOff>610560</xdr:colOff>
      <xdr:row>17</xdr:row>
      <xdr:rowOff>189720</xdr:rowOff>
    </xdr:to>
    <xdr:graphicFrame>
      <xdr:nvGraphicFramePr>
        <xdr:cNvPr id="0" name="Chart 1"/>
        <xdr:cNvGraphicFramePr/>
      </xdr:nvGraphicFramePr>
      <xdr:xfrm>
        <a:off x="8928720" y="923760"/>
        <a:ext cx="4279680" cy="2856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18</xdr:row>
      <xdr:rowOff>0</xdr:rowOff>
    </xdr:from>
    <xdr:to>
      <xdr:col>13</xdr:col>
      <xdr:colOff>610560</xdr:colOff>
      <xdr:row>33</xdr:row>
      <xdr:rowOff>190080</xdr:rowOff>
    </xdr:to>
    <xdr:graphicFrame>
      <xdr:nvGraphicFramePr>
        <xdr:cNvPr id="1" name="Chart 2"/>
        <xdr:cNvGraphicFramePr/>
      </xdr:nvGraphicFramePr>
      <xdr:xfrm>
        <a:off x="8928720" y="3781440"/>
        <a:ext cx="4279680" cy="3047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BahrainTargets" displayName="BahrainTargets" ref="A1:S12" headerRowCount="1" totalsRowCount="0" totalsRowShown="0">
  <tableColumns count="19">
    <tableColumn id="1" name="City"/>
    <tableColumn id="2" name="Category"/>
    <tableColumn id="3" name="Institution / Organisation"/>
    <tableColumn id="4" name="Incubator / Program / Unit"/>
    <tableColumn id="5" name="Organisation Profile / Relevance"/>
    <tableColumn id="6" name="Contact Name"/>
    <tableColumn id="7" name="Contact Role"/>
    <tableColumn id="8" name="Primary Email"/>
    <tableColumn id="9" name="Alternate Email"/>
    <tableColumn id="10" name="Phone"/>
    <tableColumn id="11" name="Contact / Profile URL"/>
    <tableColumn id="12" name="Official Source URL"/>
    <tableColumn id="13" name="Priority"/>
    <tableColumn id="14" name="Why Madhiyazhagan Fits"/>
    <tableColumn id="15" name="Suggested Subject"/>
    <tableColumn id="16" name="Best Entry Route"/>
    <tableColumn id="17" name="Contact Quality"/>
    <tableColumn id="18" name="Email Status"/>
    <tableColumn id="19" name="Notes"/>
  </tableColumns>
</table>
</file>

<file path=xl/tables/table2.xml><?xml version="1.0" encoding="utf-8"?>
<table xmlns="http://schemas.openxmlformats.org/spreadsheetml/2006/main" id="2" name="GulfAdvisorTargets" displayName="GulfAdvisorTargets" ref="A1:Y66" headerRowCount="1" totalsRowCount="0" totalsRowShown="0">
  <tableColumns count="25">
    <tableColumn id="1" name="ID"/>
    <tableColumn id="2" name="Country"/>
    <tableColumn id="3" name="Region / Emirate / Province"/>
    <tableColumn id="4" name="City"/>
    <tableColumn id="5" name="Category"/>
    <tableColumn id="6" name="Institution / Organisation"/>
    <tableColumn id="7" name="Incubator / Program / Unit"/>
    <tableColumn id="8" name="Organisation Profile / Relevance"/>
    <tableColumn id="9" name="Contact Name"/>
    <tableColumn id="10" name="Contact Role"/>
    <tableColumn id="11" name="Primary Email"/>
    <tableColumn id="12" name="CC / Alternate Email"/>
    <tableColumn id="13" name="Phone"/>
    <tableColumn id="14" name="Contact / Profile URL"/>
    <tableColumn id="15" name="Official Source URL"/>
    <tableColumn id="16" name="Priority"/>
    <tableColumn id="17" name="Why Madhiyazhagan Fits"/>
    <tableColumn id="18" name="Suggested Subject"/>
    <tableColumn id="19" name="Personalization Hook"/>
    <tableColumn id="20" name="Best Entry Route"/>
    <tableColumn id="21" name="Contact Quality"/>
    <tableColumn id="22" name="Verified On"/>
    <tableColumn id="23" name="Email Status"/>
    <tableColumn id="24" name="Last Contacted"/>
    <tableColumn id="25" name="Notes"/>
  </tableColumns>
</table>
</file>

<file path=xl/tables/table3.xml><?xml version="1.0" encoding="utf-8"?>
<table xmlns="http://schemas.openxmlformats.org/spreadsheetml/2006/main" id="3" name="KuwaitTargets" displayName="KuwaitTargets" ref="A1:S9" headerRowCount="1" totalsRowCount="0" totalsRowShown="0">
  <tableColumns count="19">
    <tableColumn id="1" name="City"/>
    <tableColumn id="2" name="Category"/>
    <tableColumn id="3" name="Institution / Organisation"/>
    <tableColumn id="4" name="Incubator / Program / Unit"/>
    <tableColumn id="5" name="Organisation Profile / Relevance"/>
    <tableColumn id="6" name="Contact Name"/>
    <tableColumn id="7" name="Contact Role"/>
    <tableColumn id="8" name="Primary Email"/>
    <tableColumn id="9" name="Alternate Email"/>
    <tableColumn id="10" name="Phone"/>
    <tableColumn id="11" name="Contact / Profile URL"/>
    <tableColumn id="12" name="Official Source URL"/>
    <tableColumn id="13" name="Priority"/>
    <tableColumn id="14" name="Why Madhiyazhagan Fits"/>
    <tableColumn id="15" name="Suggested Subject"/>
    <tableColumn id="16" name="Best Entry Route"/>
    <tableColumn id="17" name="Contact Quality"/>
    <tableColumn id="18" name="Email Status"/>
    <tableColumn id="19" name="Notes"/>
  </tableColumns>
</table>
</file>

<file path=xl/tables/table4.xml><?xml version="1.0" encoding="utf-8"?>
<table xmlns="http://schemas.openxmlformats.org/spreadsheetml/2006/main" id="4" name="MailReadyTargets" displayName="MailReadyTargets" ref="A1:N55" headerRowCount="1" totalsRowCount="0" totalsRowShown="0">
  <tableColumns count="14">
    <tableColumn id="1" name="Country"/>
    <tableColumn id="2" name="Region"/>
    <tableColumn id="3" name="Category"/>
    <tableColumn id="4" name="Organisation"/>
    <tableColumn id="5" name="Program / Unit"/>
    <tableColumn id="6" name="Contact Name"/>
    <tableColumn id="7" name="Contact Role"/>
    <tableColumn id="8" name="Primary Email"/>
    <tableColumn id="9" name="Alternate Email"/>
    <tableColumn id="10" name="Priority"/>
    <tableColumn id="11" name="Suggested Subject"/>
    <tableColumn id="12" name="Personalization Hook"/>
    <tableColumn id="13" name="Profile / Contact URL"/>
    <tableColumn id="14" name="Email Status"/>
  </tableColumns>
</table>
</file>

<file path=xl/tables/table5.xml><?xml version="1.0" encoding="utf-8"?>
<table xmlns="http://schemas.openxmlformats.org/spreadsheetml/2006/main" id="5" name="OmanTargets" displayName="OmanTargets" ref="A1:S12" headerRowCount="1" totalsRowCount="0" totalsRowShown="0">
  <tableColumns count="19">
    <tableColumn id="1" name="City"/>
    <tableColumn id="2" name="Category"/>
    <tableColumn id="3" name="Institution / Organisation"/>
    <tableColumn id="4" name="Incubator / Program / Unit"/>
    <tableColumn id="5" name="Organisation Profile / Relevance"/>
    <tableColumn id="6" name="Contact Name"/>
    <tableColumn id="7" name="Contact Role"/>
    <tableColumn id="8" name="Primary Email"/>
    <tableColumn id="9" name="Alternate Email"/>
    <tableColumn id="10" name="Phone"/>
    <tableColumn id="11" name="Contact / Profile URL"/>
    <tableColumn id="12" name="Official Source URL"/>
    <tableColumn id="13" name="Priority"/>
    <tableColumn id="14" name="Why Madhiyazhagan Fits"/>
    <tableColumn id="15" name="Suggested Subject"/>
    <tableColumn id="16" name="Best Entry Route"/>
    <tableColumn id="17" name="Contact Quality"/>
    <tableColumn id="18" name="Email Status"/>
    <tableColumn id="19" name="Notes"/>
  </tableColumns>
</table>
</file>

<file path=xl/tables/table6.xml><?xml version="1.0" encoding="utf-8"?>
<table xmlns="http://schemas.openxmlformats.org/spreadsheetml/2006/main" id="6" name="SaudiArabiaTargets" displayName="SaudiArabiaTargets" ref="A1:S17" headerRowCount="1" totalsRowCount="0" totalsRowShown="0">
  <tableColumns count="19">
    <tableColumn id="1" name="City"/>
    <tableColumn id="2" name="Category"/>
    <tableColumn id="3" name="Institution / Organisation"/>
    <tableColumn id="4" name="Incubator / Program / Unit"/>
    <tableColumn id="5" name="Organisation Profile / Relevance"/>
    <tableColumn id="6" name="Contact Name"/>
    <tableColumn id="7" name="Contact Role"/>
    <tableColumn id="8" name="Primary Email"/>
    <tableColumn id="9" name="Alternate Email"/>
    <tableColumn id="10" name="Phone"/>
    <tableColumn id="11" name="Contact / Profile URL"/>
    <tableColumn id="12" name="Official Source URL"/>
    <tableColumn id="13" name="Priority"/>
    <tableColumn id="14" name="Why Madhiyazhagan Fits"/>
    <tableColumn id="15" name="Suggested Subject"/>
    <tableColumn id="16" name="Best Entry Route"/>
    <tableColumn id="17" name="Contact Quality"/>
    <tableColumn id="18" name="Email Status"/>
    <tableColumn id="19" name="Notes"/>
  </tableColumns>
</table>
</file>

<file path=xl/tables/table7.xml><?xml version="1.0" encoding="utf-8"?>
<table xmlns="http://schemas.openxmlformats.org/spreadsheetml/2006/main" id="7" name="UAETargets" displayName="UAETargets" ref="A1:S20" headerRowCount="1" totalsRowCount="0" totalsRowShown="0">
  <tableColumns count="19">
    <tableColumn id="1" name="City"/>
    <tableColumn id="2" name="Category"/>
    <tableColumn id="3" name="Institution / Organisation"/>
    <tableColumn id="4" name="Incubator / Program / Unit"/>
    <tableColumn id="5" name="Organisation Profile / Relevance"/>
    <tableColumn id="6" name="Contact Name"/>
    <tableColumn id="7" name="Contact Role"/>
    <tableColumn id="8" name="Primary Email"/>
    <tableColumn id="9" name="Alternate Email"/>
    <tableColumn id="10" name="Phone"/>
    <tableColumn id="11" name="Contact / Profile URL"/>
    <tableColumn id="12" name="Official Source URL"/>
    <tableColumn id="13" name="Priority"/>
    <tableColumn id="14" name="Why Madhiyazhagan Fits"/>
    <tableColumn id="15" name="Suggested Subject"/>
    <tableColumn id="16" name="Best Entry Route"/>
    <tableColumn id="17" name="Contact Quality"/>
    <tableColumn id="18" name="Email Status"/>
    <tableColumn id="19" name="Not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7.xml"/>
</Relationships>
</file>

<file path=xl/worksheets/_rels/sheet5.xml.rels><?xml version="1.0" encoding="UTF-8"?>
<Relationships xmlns="http://schemas.openxmlformats.org/package/2006/relationships"><Relationship Id="rId1" Type="http://schemas.openxmlformats.org/officeDocument/2006/relationships/table" Target="../tables/table6.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9"/>
    <col collapsed="false" customWidth="true" hidden="false" outlineLevel="0" max="2" min="2" style="1" width="15"/>
    <col collapsed="false" customWidth="true" hidden="false" outlineLevel="0" max="3" min="3" style="1" width="3"/>
    <col collapsed="false" customWidth="true" hidden="false" outlineLevel="0" max="4" min="4" style="1" width="31"/>
    <col collapsed="false" customWidth="true" hidden="false" outlineLevel="0" max="6" min="5" style="1" width="15"/>
  </cols>
  <sheetData>
    <row r="1" customFormat="false" ht="33.75" hidden="false" customHeight="true" outlineLevel="0" collapsed="false">
      <c r="A1" s="2" t="s">
        <v>0</v>
      </c>
      <c r="B1" s="2"/>
      <c r="C1" s="2"/>
      <c r="D1" s="2"/>
      <c r="E1" s="2"/>
      <c r="F1" s="2"/>
      <c r="G1" s="2"/>
      <c r="H1" s="2"/>
      <c r="I1" s="3"/>
      <c r="J1" s="3"/>
      <c r="K1" s="3"/>
      <c r="L1" s="3"/>
      <c r="M1" s="3"/>
      <c r="N1" s="3"/>
      <c r="O1" s="3"/>
      <c r="P1" s="3"/>
      <c r="Q1" s="3"/>
      <c r="R1" s="3"/>
      <c r="S1" s="3"/>
      <c r="T1" s="3"/>
      <c r="U1" s="3"/>
      <c r="V1" s="3"/>
      <c r="W1" s="3"/>
      <c r="X1" s="3"/>
      <c r="Y1" s="3"/>
    </row>
    <row r="2" customFormat="false" ht="24" hidden="false" customHeight="true" outlineLevel="0" collapsed="false">
      <c r="A2" s="4" t="s">
        <v>1</v>
      </c>
      <c r="B2" s="4"/>
      <c r="C2" s="4"/>
      <c r="D2" s="4"/>
      <c r="E2" s="4"/>
      <c r="F2" s="4"/>
      <c r="G2" s="4"/>
      <c r="H2" s="4"/>
      <c r="I2" s="3"/>
      <c r="J2" s="3"/>
      <c r="K2" s="3"/>
      <c r="L2" s="3"/>
      <c r="M2" s="3"/>
      <c r="N2" s="3"/>
      <c r="O2" s="3"/>
      <c r="P2" s="3"/>
      <c r="Q2" s="3"/>
      <c r="R2" s="3"/>
      <c r="S2" s="3"/>
      <c r="T2" s="3"/>
      <c r="U2" s="3"/>
      <c r="V2" s="3"/>
      <c r="W2" s="3"/>
      <c r="X2" s="3"/>
      <c r="Y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row>
    <row r="4" customFormat="false" ht="15" hidden="false" customHeight="true" outlineLevel="0" collapsed="false">
      <c r="A4" s="5" t="s">
        <v>2</v>
      </c>
      <c r="B4" s="5" t="s">
        <v>3</v>
      </c>
      <c r="C4" s="3"/>
      <c r="D4" s="5" t="s">
        <v>4</v>
      </c>
      <c r="E4" s="5" t="s">
        <v>3</v>
      </c>
      <c r="F4" s="3"/>
      <c r="G4" s="3"/>
      <c r="H4" s="3"/>
      <c r="I4" s="3"/>
      <c r="J4" s="3"/>
      <c r="K4" s="3"/>
      <c r="L4" s="3"/>
      <c r="M4" s="3"/>
      <c r="N4" s="3"/>
      <c r="O4" s="3"/>
      <c r="P4" s="3"/>
      <c r="Q4" s="3"/>
      <c r="R4" s="3"/>
      <c r="S4" s="3"/>
      <c r="T4" s="3"/>
      <c r="U4" s="3"/>
      <c r="V4" s="3"/>
      <c r="W4" s="3"/>
      <c r="X4" s="3"/>
      <c r="Y4" s="3"/>
    </row>
    <row r="5" customFormat="false" ht="15" hidden="false" customHeight="true" outlineLevel="0" collapsed="false">
      <c r="A5" s="3" t="s">
        <v>5</v>
      </c>
      <c r="B5" s="3" t="n">
        <f aca="false">COUNTA('Master Mail List'!A2:A66)</f>
        <v>65</v>
      </c>
      <c r="C5" s="3"/>
      <c r="D5" s="3" t="s">
        <v>6</v>
      </c>
      <c r="E5" s="3" t="n">
        <f aca="false">COUNTIF('Master Mail List'!U2:U66,"Named contact + public email")</f>
        <v>17</v>
      </c>
      <c r="F5" s="3"/>
      <c r="G5" s="3"/>
      <c r="H5" s="3"/>
      <c r="I5" s="3"/>
      <c r="J5" s="3"/>
      <c r="K5" s="3"/>
      <c r="L5" s="3"/>
      <c r="M5" s="3"/>
      <c r="N5" s="3"/>
      <c r="O5" s="3"/>
      <c r="P5" s="3"/>
      <c r="Q5" s="3"/>
      <c r="R5" s="3"/>
      <c r="S5" s="3"/>
      <c r="T5" s="3"/>
      <c r="U5" s="3"/>
      <c r="V5" s="3"/>
      <c r="W5" s="3"/>
      <c r="X5" s="3"/>
      <c r="Y5" s="3"/>
    </row>
    <row r="6" customFormat="false" ht="15" hidden="false" customHeight="true" outlineLevel="0" collapsed="false">
      <c r="A6" s="3" t="s">
        <v>7</v>
      </c>
      <c r="B6" s="3" t="n">
        <v>5</v>
      </c>
      <c r="C6" s="3"/>
      <c r="D6" s="3" t="s">
        <v>8</v>
      </c>
      <c r="E6" s="3" t="n">
        <f aca="false">COUNTIF('Master Mail List'!U2:U66,"Functional / program email")</f>
        <v>37</v>
      </c>
      <c r="F6" s="3"/>
      <c r="G6" s="3"/>
      <c r="H6" s="3"/>
      <c r="I6" s="3"/>
      <c r="J6" s="3"/>
      <c r="K6" s="3"/>
      <c r="L6" s="3"/>
      <c r="M6" s="3"/>
      <c r="N6" s="3"/>
      <c r="O6" s="3"/>
      <c r="P6" s="3"/>
      <c r="Q6" s="3"/>
      <c r="R6" s="3"/>
      <c r="S6" s="3"/>
      <c r="T6" s="3"/>
      <c r="U6" s="3"/>
      <c r="V6" s="3"/>
      <c r="W6" s="3"/>
      <c r="X6" s="3"/>
      <c r="Y6" s="3"/>
    </row>
    <row r="7" customFormat="false" ht="15" hidden="false" customHeight="true" outlineLevel="0" collapsed="false">
      <c r="A7" s="3" t="s">
        <v>9</v>
      </c>
      <c r="B7" s="3" t="n">
        <f aca="false">COUNTA('Master Mail List'!K2:K66)</f>
        <v>54</v>
      </c>
      <c r="C7" s="3"/>
      <c r="D7" s="3" t="s">
        <v>10</v>
      </c>
      <c r="E7" s="3" t="n">
        <f aca="false">COUNTIF('Master Mail List'!U2:U66,"Official route – no public email verified")</f>
        <v>11</v>
      </c>
      <c r="F7" s="3"/>
      <c r="G7" s="3"/>
      <c r="H7" s="3"/>
      <c r="I7" s="3"/>
      <c r="J7" s="3"/>
      <c r="K7" s="3"/>
      <c r="L7" s="3"/>
      <c r="M7" s="3"/>
      <c r="N7" s="3"/>
      <c r="O7" s="3"/>
      <c r="P7" s="3"/>
      <c r="Q7" s="3"/>
      <c r="R7" s="3"/>
      <c r="S7" s="3"/>
      <c r="T7" s="3"/>
      <c r="U7" s="3"/>
      <c r="V7" s="3"/>
      <c r="W7" s="3"/>
      <c r="X7" s="3"/>
      <c r="Y7" s="3"/>
    </row>
    <row r="8" customFormat="false" ht="15" hidden="false" customHeight="true" outlineLevel="0" collapsed="false">
      <c r="A8" s="3" t="s">
        <v>11</v>
      </c>
      <c r="B8" s="3" t="n">
        <f aca="false">COUNTIF('Master Mail List'!P2:P66,"A")</f>
        <v>45</v>
      </c>
      <c r="C8" s="3"/>
      <c r="D8" s="3" t="s">
        <v>12</v>
      </c>
      <c r="E8" s="3" t="n">
        <f aca="false">COUNTIF('Master Mail List'!W2:W66,"Drafted")</f>
        <v>0</v>
      </c>
      <c r="F8" s="3"/>
      <c r="G8" s="3"/>
      <c r="H8" s="3"/>
      <c r="I8" s="3"/>
      <c r="J8" s="3"/>
      <c r="K8" s="3"/>
      <c r="L8" s="3"/>
      <c r="M8" s="3"/>
      <c r="N8" s="3"/>
      <c r="O8" s="3"/>
      <c r="P8" s="3"/>
      <c r="Q8" s="3"/>
      <c r="R8" s="3"/>
      <c r="S8" s="3"/>
      <c r="T8" s="3"/>
      <c r="U8" s="3"/>
      <c r="V8" s="3"/>
      <c r="W8" s="3"/>
      <c r="X8" s="3"/>
      <c r="Y8" s="3"/>
    </row>
    <row r="9" customFormat="false" ht="15" hidden="false" customHeight="true" outlineLevel="0" collapsed="false">
      <c r="A9" s="3" t="s">
        <v>13</v>
      </c>
      <c r="B9" s="3" t="n">
        <f aca="false">COUNTIF('Master Mail List'!E2:E66,"Engineering / Technology University")</f>
        <v>15</v>
      </c>
      <c r="C9" s="3"/>
      <c r="D9" s="3" t="s">
        <v>14</v>
      </c>
      <c r="E9" s="3" t="n">
        <f aca="false">COUNTIF('Master Mail List'!W2:W66,"Sent")</f>
        <v>32</v>
      </c>
      <c r="F9" s="3"/>
      <c r="G9" s="3"/>
      <c r="H9" s="3"/>
      <c r="I9" s="3"/>
      <c r="J9" s="3"/>
      <c r="K9" s="3"/>
      <c r="L9" s="3"/>
      <c r="M9" s="3"/>
      <c r="N9" s="3"/>
      <c r="O9" s="3"/>
      <c r="P9" s="3"/>
      <c r="Q9" s="3"/>
      <c r="R9" s="3"/>
      <c r="S9" s="3"/>
      <c r="T9" s="3"/>
      <c r="U9" s="3"/>
      <c r="V9" s="3"/>
      <c r="W9" s="3"/>
      <c r="X9" s="3"/>
      <c r="Y9" s="3"/>
    </row>
    <row r="10" customFormat="false" ht="15" hidden="false" customHeight="true" outlineLevel="0" collapsed="false">
      <c r="A10" s="3" t="s">
        <v>15</v>
      </c>
      <c r="B10" s="3" t="n">
        <f aca="false">COUNTIF('Master Mail List'!E2:E66,"B-School / University Entrepreneurship")</f>
        <v>14</v>
      </c>
      <c r="C10" s="3"/>
      <c r="D10" s="3" t="s">
        <v>16</v>
      </c>
      <c r="E10" s="3" t="n">
        <f aca="false">COUNTIF('Master Mail List'!W2:W66,"Meeting Booked")</f>
        <v>0</v>
      </c>
      <c r="F10" s="3"/>
      <c r="G10" s="3"/>
      <c r="H10" s="3"/>
      <c r="I10" s="3"/>
      <c r="J10" s="3"/>
      <c r="K10" s="3"/>
      <c r="L10" s="3"/>
      <c r="M10" s="3"/>
      <c r="N10" s="3"/>
      <c r="O10" s="3"/>
      <c r="P10" s="3"/>
      <c r="Q10" s="3"/>
      <c r="R10" s="3"/>
      <c r="S10" s="3"/>
      <c r="T10" s="3"/>
      <c r="U10" s="3"/>
      <c r="V10" s="3"/>
      <c r="W10" s="3"/>
      <c r="X10" s="3"/>
      <c r="Y10" s="3"/>
    </row>
    <row r="11" customFormat="false" ht="15" hidden="false" customHeight="true" outlineLevel="0" collapsed="false">
      <c r="A11" s="3" t="s">
        <v>17</v>
      </c>
      <c r="B11" s="3" t="n">
        <f aca="false">COUNTIF('Master Mail List'!E2:E66,"Accelerator / Incubator")</f>
        <v>21</v>
      </c>
      <c r="C11" s="3"/>
      <c r="D11" s="3"/>
      <c r="E11" s="3"/>
      <c r="F11" s="3"/>
      <c r="G11" s="3"/>
      <c r="H11" s="3"/>
      <c r="I11" s="3"/>
      <c r="J11" s="3"/>
      <c r="K11" s="3"/>
      <c r="L11" s="3"/>
      <c r="M11" s="3"/>
      <c r="N11" s="3"/>
      <c r="O11" s="3"/>
      <c r="P11" s="3"/>
      <c r="Q11" s="3"/>
      <c r="R11" s="3"/>
      <c r="S11" s="3"/>
      <c r="T11" s="3"/>
      <c r="U11" s="3"/>
      <c r="V11" s="3"/>
      <c r="W11" s="3"/>
      <c r="X11" s="3"/>
      <c r="Y11" s="3"/>
    </row>
    <row r="12" customFormat="false" ht="15" hidden="false" customHeight="true" outlineLevel="0" collapsed="false">
      <c r="A12" s="3" t="s">
        <v>18</v>
      </c>
      <c r="B12" s="3" t="n">
        <f aca="false">COUNTIF('Master Mail List'!E2:E66,"Government / Startup Ecosystem")</f>
        <v>15</v>
      </c>
      <c r="C12" s="3"/>
      <c r="D12" s="3"/>
      <c r="E12" s="3"/>
      <c r="F12" s="3"/>
      <c r="G12" s="3"/>
      <c r="H12" s="3"/>
      <c r="I12" s="3"/>
      <c r="J12" s="3"/>
      <c r="K12" s="3"/>
      <c r="L12" s="3"/>
      <c r="M12" s="3"/>
      <c r="N12" s="3"/>
      <c r="O12" s="3"/>
      <c r="P12" s="3"/>
      <c r="Q12" s="3"/>
      <c r="R12" s="3"/>
      <c r="S12" s="3"/>
      <c r="T12" s="3"/>
      <c r="U12" s="3"/>
      <c r="V12" s="3"/>
      <c r="W12" s="3"/>
      <c r="X12" s="3"/>
      <c r="Y12" s="3"/>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row>
    <row r="15" customFormat="false" ht="15" hidden="false" customHeight="true" outlineLevel="0" collapsed="false">
      <c r="A15" s="6" t="s">
        <v>19</v>
      </c>
      <c r="B15" s="6" t="s">
        <v>20</v>
      </c>
      <c r="C15" s="3"/>
      <c r="D15" s="6" t="s">
        <v>19</v>
      </c>
      <c r="E15" s="6" t="s">
        <v>21</v>
      </c>
      <c r="F15" s="6" t="s">
        <v>22</v>
      </c>
      <c r="G15" s="3"/>
      <c r="H15" s="3"/>
      <c r="I15" s="3"/>
      <c r="J15" s="3"/>
      <c r="K15" s="3"/>
      <c r="L15" s="3"/>
      <c r="M15" s="3"/>
      <c r="N15" s="3"/>
      <c r="O15" s="3"/>
      <c r="P15" s="3"/>
      <c r="Q15" s="3"/>
      <c r="R15" s="3"/>
      <c r="S15" s="3"/>
      <c r="T15" s="3"/>
      <c r="U15" s="3"/>
      <c r="V15" s="3"/>
      <c r="W15" s="3"/>
      <c r="X15" s="3"/>
      <c r="Y15" s="3"/>
    </row>
    <row r="16" customFormat="false" ht="15" hidden="false" customHeight="true" outlineLevel="0" collapsed="false">
      <c r="A16" s="3" t="s">
        <v>23</v>
      </c>
      <c r="B16" s="3" t="n">
        <f aca="false">COUNTIF('Master Mail List'!B2:B66,A16)</f>
        <v>19</v>
      </c>
      <c r="C16" s="3"/>
      <c r="D16" s="3" t="s">
        <v>23</v>
      </c>
      <c r="E16" s="3" t="n">
        <f aca="false">COUNTIF('Master Mail List'!B2:B66,D16)</f>
        <v>19</v>
      </c>
      <c r="F16" s="3" t="n">
        <f aca="false">COUNTIFS('Master Mail List'!B2:B66,D16,'Master Mail List'!K2:K66,"&lt;&gt;")</f>
        <v>15</v>
      </c>
      <c r="G16" s="3"/>
      <c r="H16" s="3"/>
      <c r="I16" s="3"/>
      <c r="J16" s="3"/>
      <c r="K16" s="3"/>
      <c r="L16" s="3"/>
      <c r="M16" s="3"/>
      <c r="N16" s="3"/>
      <c r="O16" s="3"/>
      <c r="P16" s="3"/>
      <c r="Q16" s="3"/>
      <c r="R16" s="3"/>
      <c r="S16" s="3"/>
      <c r="T16" s="3"/>
      <c r="U16" s="3"/>
      <c r="V16" s="3"/>
      <c r="W16" s="3"/>
      <c r="X16" s="3"/>
      <c r="Y16" s="3"/>
    </row>
    <row r="17" customFormat="false" ht="15" hidden="false" customHeight="true" outlineLevel="0" collapsed="false">
      <c r="A17" s="3" t="s">
        <v>24</v>
      </c>
      <c r="B17" s="3" t="n">
        <f aca="false">COUNTIF('Master Mail List'!B2:B66,A17)</f>
        <v>16</v>
      </c>
      <c r="C17" s="3"/>
      <c r="D17" s="3" t="s">
        <v>24</v>
      </c>
      <c r="E17" s="3" t="n">
        <f aca="false">COUNTIF('Master Mail List'!B2:B66,D17)</f>
        <v>16</v>
      </c>
      <c r="F17" s="3" t="n">
        <f aca="false">COUNTIFS('Master Mail List'!B2:B66,D17,'Master Mail List'!K2:K66,"&lt;&gt;")</f>
        <v>13</v>
      </c>
      <c r="G17" s="3"/>
      <c r="H17" s="3"/>
      <c r="I17" s="3"/>
      <c r="J17" s="3"/>
      <c r="K17" s="3"/>
      <c r="L17" s="3"/>
      <c r="M17" s="3"/>
      <c r="N17" s="3"/>
      <c r="O17" s="3"/>
      <c r="P17" s="3"/>
      <c r="Q17" s="3"/>
      <c r="R17" s="3"/>
      <c r="S17" s="3"/>
      <c r="T17" s="3"/>
      <c r="U17" s="3"/>
      <c r="V17" s="3"/>
      <c r="W17" s="3"/>
      <c r="X17" s="3"/>
      <c r="Y17" s="3"/>
    </row>
    <row r="18" customFormat="false" ht="15" hidden="false" customHeight="true" outlineLevel="0" collapsed="false">
      <c r="A18" s="3" t="s">
        <v>25</v>
      </c>
      <c r="B18" s="3" t="n">
        <f aca="false">COUNTIF('Master Mail List'!B2:B66,A18)</f>
        <v>11</v>
      </c>
      <c r="C18" s="3"/>
      <c r="D18" s="3" t="s">
        <v>25</v>
      </c>
      <c r="E18" s="3" t="n">
        <f aca="false">COUNTIF('Master Mail List'!B2:B66,D18)</f>
        <v>11</v>
      </c>
      <c r="F18" s="3" t="n">
        <f aca="false">COUNTIFS('Master Mail List'!B2:B66,D18,'Master Mail List'!K2:K66,"&lt;&gt;")</f>
        <v>11</v>
      </c>
      <c r="G18" s="3"/>
      <c r="H18" s="3"/>
      <c r="I18" s="3"/>
      <c r="J18" s="3"/>
      <c r="K18" s="3"/>
      <c r="L18" s="3"/>
      <c r="M18" s="3"/>
      <c r="N18" s="3"/>
      <c r="O18" s="3"/>
      <c r="P18" s="3"/>
      <c r="Q18" s="3"/>
      <c r="R18" s="3"/>
      <c r="S18" s="3"/>
      <c r="T18" s="3"/>
      <c r="U18" s="3"/>
      <c r="V18" s="3"/>
      <c r="W18" s="3"/>
      <c r="X18" s="3"/>
      <c r="Y18" s="3"/>
    </row>
    <row r="19" customFormat="false" ht="15" hidden="false" customHeight="true" outlineLevel="0" collapsed="false">
      <c r="A19" s="3" t="s">
        <v>26</v>
      </c>
      <c r="B19" s="3" t="n">
        <f aca="false">COUNTIF('Master Mail List'!B2:B66,A19)</f>
        <v>8</v>
      </c>
      <c r="C19" s="3"/>
      <c r="D19" s="3" t="s">
        <v>26</v>
      </c>
      <c r="E19" s="3" t="n">
        <f aca="false">COUNTIF('Master Mail List'!B2:B66,D19)</f>
        <v>8</v>
      </c>
      <c r="F19" s="3" t="n">
        <f aca="false">COUNTIFS('Master Mail List'!B2:B66,D19,'Master Mail List'!K2:K66,"&lt;&gt;")</f>
        <v>7</v>
      </c>
      <c r="G19" s="3"/>
      <c r="H19" s="3"/>
      <c r="I19" s="3"/>
      <c r="J19" s="3"/>
      <c r="K19" s="3"/>
      <c r="L19" s="3"/>
      <c r="M19" s="3"/>
      <c r="N19" s="3"/>
      <c r="O19" s="3"/>
      <c r="P19" s="3"/>
      <c r="Q19" s="3"/>
      <c r="R19" s="3"/>
      <c r="S19" s="3"/>
      <c r="T19" s="3"/>
      <c r="U19" s="3"/>
      <c r="V19" s="3"/>
      <c r="W19" s="3"/>
      <c r="X19" s="3"/>
      <c r="Y19" s="3"/>
    </row>
    <row r="20" customFormat="false" ht="15" hidden="false" customHeight="true" outlineLevel="0" collapsed="false">
      <c r="A20" s="3" t="s">
        <v>27</v>
      </c>
      <c r="B20" s="3" t="n">
        <f aca="false">COUNTIF('Master Mail List'!B2:B66,A20)</f>
        <v>11</v>
      </c>
      <c r="C20" s="3"/>
      <c r="D20" s="3" t="s">
        <v>27</v>
      </c>
      <c r="E20" s="3" t="n">
        <f aca="false">COUNTIF('Master Mail List'!B2:B66,D20)</f>
        <v>11</v>
      </c>
      <c r="F20" s="3" t="n">
        <f aca="false">COUNTIFS('Master Mail List'!B2:B66,D20,'Master Mail List'!K2:K66,"&lt;&gt;")</f>
        <v>8</v>
      </c>
      <c r="G20" s="3"/>
      <c r="H20" s="3"/>
      <c r="I20" s="3"/>
      <c r="J20" s="3"/>
      <c r="K20" s="3"/>
      <c r="L20" s="3"/>
      <c r="M20" s="3"/>
      <c r="N20" s="3"/>
      <c r="O20" s="3"/>
      <c r="P20" s="3"/>
      <c r="Q20" s="3"/>
      <c r="R20" s="3"/>
      <c r="S20" s="3"/>
      <c r="T20" s="3"/>
      <c r="U20" s="3"/>
      <c r="V20" s="3"/>
      <c r="W20" s="3"/>
      <c r="X20" s="3"/>
      <c r="Y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ustomFormat="false" ht="1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ustomFormat="false" ht="1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ustomFormat="false" ht="1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ustomFormat="false" ht="1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ustomFormat="false" ht="1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ustomFormat="false" ht="1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ustomFormat="false" ht="1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ustomFormat="false" ht="1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ustomFormat="false" ht="1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ustomFormat="false" ht="1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ustomFormat="false" ht="1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ustomFormat="false" ht="1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ustomFormat="false" ht="1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ustomFormat="false" ht="1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ustomFormat="false" ht="1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ustomFormat="false" ht="1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ustomFormat="false" ht="1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ustomFormat="false" ht="1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ustomFormat="false" ht="1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ustomFormat="false" ht="1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ustomFormat="false" ht="1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ustomFormat="false" ht="1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ustomFormat="false" ht="1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ustomFormat="false" ht="1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ustomFormat="false" ht="1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ustomFormat="false" ht="1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ustomFormat="false" ht="1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ustomFormat="false" ht="1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ustomFormat="false" ht="1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ustomFormat="false" ht="1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ustomFormat="false" ht="1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ustomFormat="false" ht="1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ustomFormat="false" ht="1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ustomFormat="false" ht="1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ustomFormat="false" ht="1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ustomFormat="false" ht="1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ustomFormat="false" ht="1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ustomFormat="false" ht="1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ustomFormat="false" ht="1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ustomFormat="false" ht="1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ustomFormat="false" ht="1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ustomFormat="false" ht="1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ustomFormat="false" ht="1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ustomFormat="false" ht="1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ustomFormat="false" ht="1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ustomFormat="false" ht="1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ustomFormat="false" ht="1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ustomFormat="false" ht="1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ustomFormat="false" ht="1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ustomFormat="false" ht="1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ustomFormat="false" ht="1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ustomFormat="false" ht="1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ustomFormat="false" ht="1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ustomFormat="false" ht="1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ustomFormat="false" ht="1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ustomFormat="false" ht="1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ustomFormat="false" ht="1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ustomFormat="false" ht="1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ustomFormat="false" ht="1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ustomFormat="false" ht="1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ustomFormat="false" ht="1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ustomFormat="false" ht="1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ustomFormat="false" ht="1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ustomFormat="false" ht="1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ustomFormat="false" ht="1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ustomFormat="false" ht="1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ustomFormat="false" ht="1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ustomFormat="false" ht="1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ustomFormat="false" ht="1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ustomFormat="false" ht="1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ustomFormat="false" ht="1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ustomFormat="false" ht="1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ustomFormat="false" ht="1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ustomFormat="false" ht="1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ustomFormat="false" ht="1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ustomFormat="false" ht="1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ustomFormat="false" ht="1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ustomFormat="false" ht="1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ustomFormat="false" ht="1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ustomFormat="false" ht="1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5"/>
    <col collapsed="false" customWidth="true" hidden="false" outlineLevel="0" max="3" min="3" style="1" width="23"/>
    <col collapsed="false" customWidth="true" hidden="false" outlineLevel="0" max="4" min="4" style="1" width="15"/>
    <col collapsed="false" customWidth="true" hidden="false" outlineLevel="0" max="6" min="5" style="1" width="31"/>
    <col collapsed="false" customWidth="true" hidden="false" outlineLevel="0" max="7" min="7" style="1" width="35"/>
    <col collapsed="false" customWidth="true" hidden="false" outlineLevel="0" max="8" min="8" style="1" width="48"/>
    <col collapsed="false" customWidth="true" hidden="false" outlineLevel="0" max="9" min="9" style="1" width="25"/>
    <col collapsed="false" customWidth="true" hidden="false" outlineLevel="0" max="10" min="10" style="1" width="29"/>
    <col collapsed="false" customWidth="true" hidden="false" outlineLevel="0" max="12" min="11" style="1" width="31"/>
    <col collapsed="false" customWidth="true" hidden="false" outlineLevel="0" max="13" min="13" style="1" width="19"/>
    <col collapsed="false" customWidth="true" hidden="false" outlineLevel="0" max="15" min="14" style="1" width="44"/>
    <col collapsed="false" customWidth="true" hidden="false" outlineLevel="0" max="16" min="16" style="1" width="8"/>
    <col collapsed="false" customWidth="true" hidden="false" outlineLevel="0" max="17" min="17" style="1" width="48"/>
    <col collapsed="false" customWidth="true" hidden="false" outlineLevel="0" max="18" min="18" style="1" width="47"/>
    <col collapsed="false" customWidth="true" hidden="false" outlineLevel="0" max="19" min="19" style="1" width="54"/>
    <col collapsed="false" customWidth="true" hidden="false" outlineLevel="0" max="20" min="20" style="1" width="50"/>
    <col collapsed="false" customWidth="true" hidden="false" outlineLevel="0" max="21" min="21" style="1" width="31"/>
    <col collapsed="false" customWidth="true" hidden="false" outlineLevel="0" max="22" min="22" style="1" width="13"/>
    <col collapsed="false" customWidth="true" hidden="false" outlineLevel="0" max="23" min="23" style="1" width="18"/>
    <col collapsed="false" customWidth="true" hidden="false" outlineLevel="0" max="24" min="24" style="1" width="15"/>
    <col collapsed="false" customWidth="true" hidden="false" outlineLevel="0" max="25" min="25" style="1" width="40"/>
  </cols>
  <sheetData>
    <row r="1" customFormat="false" ht="36" hidden="false" customHeight="true" outlineLevel="0" collapsed="false">
      <c r="A1" s="7" t="s">
        <v>28</v>
      </c>
      <c r="B1" s="7" t="s">
        <v>19</v>
      </c>
      <c r="C1" s="7" t="s">
        <v>29</v>
      </c>
      <c r="D1" s="7" t="s">
        <v>30</v>
      </c>
      <c r="E1" s="7" t="s">
        <v>31</v>
      </c>
      <c r="F1" s="7" t="s">
        <v>32</v>
      </c>
      <c r="G1" s="7" t="s">
        <v>33</v>
      </c>
      <c r="H1" s="7" t="s">
        <v>34</v>
      </c>
      <c r="I1" s="7" t="s">
        <v>35</v>
      </c>
      <c r="J1" s="7" t="s">
        <v>36</v>
      </c>
      <c r="K1" s="7" t="s">
        <v>37</v>
      </c>
      <c r="L1" s="7" t="s">
        <v>38</v>
      </c>
      <c r="M1" s="7" t="s">
        <v>39</v>
      </c>
      <c r="N1" s="7" t="s">
        <v>40</v>
      </c>
      <c r="O1" s="7" t="s">
        <v>41</v>
      </c>
      <c r="P1" s="7" t="s">
        <v>42</v>
      </c>
      <c r="Q1" s="7" t="s">
        <v>43</v>
      </c>
      <c r="R1" s="7" t="s">
        <v>44</v>
      </c>
      <c r="S1" s="7" t="s">
        <v>45</v>
      </c>
      <c r="T1" s="7" t="s">
        <v>46</v>
      </c>
      <c r="U1" s="7" t="s">
        <v>47</v>
      </c>
      <c r="V1" s="7" t="s">
        <v>48</v>
      </c>
      <c r="W1" s="7" t="s">
        <v>49</v>
      </c>
      <c r="X1" s="7" t="s">
        <v>50</v>
      </c>
      <c r="Y1" s="7" t="s">
        <v>51</v>
      </c>
    </row>
    <row r="2" customFormat="false" ht="45.75" hidden="false" customHeight="true" outlineLevel="0" collapsed="false">
      <c r="A2" s="8" t="n">
        <v>1</v>
      </c>
      <c r="B2" s="8" t="s">
        <v>23</v>
      </c>
      <c r="C2" s="8" t="s">
        <v>52</v>
      </c>
      <c r="D2" s="8" t="s">
        <v>52</v>
      </c>
      <c r="E2" s="9" t="s">
        <v>53</v>
      </c>
      <c r="F2" s="9" t="s">
        <v>54</v>
      </c>
      <c r="G2" s="9" t="s">
        <v>55</v>
      </c>
      <c r="H2" s="9" t="s">
        <v>56</v>
      </c>
      <c r="I2" s="9" t="s">
        <v>57</v>
      </c>
      <c r="J2" s="9" t="s">
        <v>58</v>
      </c>
      <c r="K2" s="9" t="s">
        <v>59</v>
      </c>
      <c r="L2" s="9"/>
      <c r="M2" s="9" t="s">
        <v>60</v>
      </c>
      <c r="N2" s="9" t="s">
        <v>61</v>
      </c>
      <c r="O2" s="9" t="s">
        <v>62</v>
      </c>
      <c r="P2" s="8" t="s">
        <v>63</v>
      </c>
      <c r="Q2" s="9" t="s">
        <v>64</v>
      </c>
      <c r="R2" s="9" t="s">
        <v>65</v>
      </c>
      <c r="S2" s="9" t="s">
        <v>66</v>
      </c>
      <c r="T2" s="9" t="s">
        <v>67</v>
      </c>
      <c r="U2" s="9" t="s">
        <v>8</v>
      </c>
      <c r="V2" s="10" t="n">
        <v>46291</v>
      </c>
      <c r="W2" s="8" t="s">
        <v>68</v>
      </c>
      <c r="X2" s="10"/>
      <c r="Y2" s="9" t="s">
        <v>69</v>
      </c>
    </row>
    <row r="3" customFormat="false" ht="45.75" hidden="false" customHeight="true" outlineLevel="0" collapsed="false">
      <c r="A3" s="8" t="n">
        <v>2</v>
      </c>
      <c r="B3" s="8" t="s">
        <v>23</v>
      </c>
      <c r="C3" s="8" t="s">
        <v>52</v>
      </c>
      <c r="D3" s="8" t="s">
        <v>52</v>
      </c>
      <c r="E3" s="9" t="s">
        <v>53</v>
      </c>
      <c r="F3" s="9" t="s">
        <v>70</v>
      </c>
      <c r="G3" s="9" t="s">
        <v>71</v>
      </c>
      <c r="H3" s="9" t="s">
        <v>72</v>
      </c>
      <c r="I3" s="9" t="s">
        <v>73</v>
      </c>
      <c r="J3" s="9" t="s">
        <v>74</v>
      </c>
      <c r="K3" s="9" t="s">
        <v>75</v>
      </c>
      <c r="L3" s="9"/>
      <c r="M3" s="9"/>
      <c r="N3" s="9" t="s">
        <v>76</v>
      </c>
      <c r="O3" s="9" t="s">
        <v>77</v>
      </c>
      <c r="P3" s="8" t="s">
        <v>63</v>
      </c>
      <c r="Q3" s="9" t="s">
        <v>64</v>
      </c>
      <c r="R3" s="9" t="s">
        <v>78</v>
      </c>
      <c r="S3" s="9" t="s">
        <v>79</v>
      </c>
      <c r="T3" s="9" t="s">
        <v>80</v>
      </c>
      <c r="U3" s="9" t="s">
        <v>81</v>
      </c>
      <c r="V3" s="10" t="n">
        <v>46291</v>
      </c>
      <c r="W3" s="8" t="s">
        <v>68</v>
      </c>
      <c r="X3" s="10"/>
      <c r="Y3" s="9" t="s">
        <v>69</v>
      </c>
    </row>
    <row r="4" customFormat="false" ht="45.75" hidden="false" customHeight="true" outlineLevel="0" collapsed="false">
      <c r="A4" s="8" t="n">
        <v>3</v>
      </c>
      <c r="B4" s="8" t="s">
        <v>23</v>
      </c>
      <c r="C4" s="8" t="s">
        <v>82</v>
      </c>
      <c r="D4" s="8" t="s">
        <v>82</v>
      </c>
      <c r="E4" s="9" t="s">
        <v>53</v>
      </c>
      <c r="F4" s="9" t="s">
        <v>83</v>
      </c>
      <c r="G4" s="9" t="s">
        <v>84</v>
      </c>
      <c r="H4" s="9" t="s">
        <v>85</v>
      </c>
      <c r="I4" s="9" t="s">
        <v>86</v>
      </c>
      <c r="J4" s="9" t="s">
        <v>87</v>
      </c>
      <c r="K4" s="9" t="s">
        <v>88</v>
      </c>
      <c r="L4" s="9" t="s">
        <v>89</v>
      </c>
      <c r="M4" s="9" t="s">
        <v>90</v>
      </c>
      <c r="N4" s="9" t="s">
        <v>91</v>
      </c>
      <c r="O4" s="9" t="s">
        <v>92</v>
      </c>
      <c r="P4" s="8" t="s">
        <v>63</v>
      </c>
      <c r="Q4" s="9" t="s">
        <v>64</v>
      </c>
      <c r="R4" s="9" t="s">
        <v>93</v>
      </c>
      <c r="S4" s="9" t="s">
        <v>94</v>
      </c>
      <c r="T4" s="9" t="s">
        <v>67</v>
      </c>
      <c r="U4" s="9" t="s">
        <v>8</v>
      </c>
      <c r="V4" s="10" t="n">
        <v>46291</v>
      </c>
      <c r="W4" s="8" t="s">
        <v>95</v>
      </c>
      <c r="X4" s="10"/>
      <c r="Y4" s="9" t="s">
        <v>96</v>
      </c>
    </row>
    <row r="5" customFormat="false" ht="45.75" hidden="false" customHeight="true" outlineLevel="0" collapsed="false">
      <c r="A5" s="8" t="n">
        <v>4</v>
      </c>
      <c r="B5" s="8" t="s">
        <v>23</v>
      </c>
      <c r="C5" s="8" t="s">
        <v>82</v>
      </c>
      <c r="D5" s="8" t="s">
        <v>82</v>
      </c>
      <c r="E5" s="9" t="s">
        <v>18</v>
      </c>
      <c r="F5" s="9" t="s">
        <v>97</v>
      </c>
      <c r="G5" s="9" t="s">
        <v>98</v>
      </c>
      <c r="H5" s="9" t="s">
        <v>99</v>
      </c>
      <c r="I5" s="9" t="s">
        <v>100</v>
      </c>
      <c r="J5" s="9" t="s">
        <v>101</v>
      </c>
      <c r="K5" s="9" t="s">
        <v>102</v>
      </c>
      <c r="L5" s="9" t="s">
        <v>103</v>
      </c>
      <c r="M5" s="9"/>
      <c r="N5" s="9" t="s">
        <v>104</v>
      </c>
      <c r="O5" s="9" t="s">
        <v>105</v>
      </c>
      <c r="P5" s="8" t="s">
        <v>63</v>
      </c>
      <c r="Q5" s="9" t="s">
        <v>106</v>
      </c>
      <c r="R5" s="9" t="s">
        <v>107</v>
      </c>
      <c r="S5" s="9" t="s">
        <v>108</v>
      </c>
      <c r="T5" s="9" t="s">
        <v>67</v>
      </c>
      <c r="U5" s="9" t="s">
        <v>8</v>
      </c>
      <c r="V5" s="10" t="n">
        <v>46291</v>
      </c>
      <c r="W5" s="8" t="s">
        <v>14</v>
      </c>
      <c r="X5" s="10" t="n">
        <v>46291</v>
      </c>
      <c r="Y5" s="9" t="s">
        <v>109</v>
      </c>
    </row>
    <row r="6" customFormat="false" ht="45.75" hidden="false" customHeight="true" outlineLevel="0" collapsed="false">
      <c r="A6" s="8" t="n">
        <v>5</v>
      </c>
      <c r="B6" s="8" t="s">
        <v>23</v>
      </c>
      <c r="C6" s="8" t="s">
        <v>110</v>
      </c>
      <c r="D6" s="8" t="s">
        <v>110</v>
      </c>
      <c r="E6" s="9" t="s">
        <v>53</v>
      </c>
      <c r="F6" s="9" t="s">
        <v>111</v>
      </c>
      <c r="G6" s="9" t="s">
        <v>112</v>
      </c>
      <c r="H6" s="9" t="s">
        <v>113</v>
      </c>
      <c r="I6" s="9" t="s">
        <v>114</v>
      </c>
      <c r="J6" s="9" t="s">
        <v>115</v>
      </c>
      <c r="K6" s="9" t="s">
        <v>116</v>
      </c>
      <c r="L6" s="9"/>
      <c r="M6" s="9" t="s">
        <v>117</v>
      </c>
      <c r="N6" s="9" t="s">
        <v>118</v>
      </c>
      <c r="O6" s="9" t="s">
        <v>119</v>
      </c>
      <c r="P6" s="8" t="s">
        <v>63</v>
      </c>
      <c r="Q6" s="9" t="s">
        <v>64</v>
      </c>
      <c r="R6" s="9" t="s">
        <v>120</v>
      </c>
      <c r="S6" s="9" t="s">
        <v>121</v>
      </c>
      <c r="T6" s="9" t="s">
        <v>80</v>
      </c>
      <c r="U6" s="9" t="s">
        <v>81</v>
      </c>
      <c r="V6" s="10" t="n">
        <v>46291</v>
      </c>
      <c r="W6" s="8" t="s">
        <v>68</v>
      </c>
      <c r="X6" s="10"/>
      <c r="Y6" s="9" t="s">
        <v>69</v>
      </c>
    </row>
    <row r="7" customFormat="false" ht="45.75" hidden="false" customHeight="true" outlineLevel="0" collapsed="false">
      <c r="A7" s="8" t="n">
        <v>6</v>
      </c>
      <c r="B7" s="8" t="s">
        <v>23</v>
      </c>
      <c r="C7" s="8" t="s">
        <v>82</v>
      </c>
      <c r="D7" s="8" t="s">
        <v>82</v>
      </c>
      <c r="E7" s="9" t="s">
        <v>53</v>
      </c>
      <c r="F7" s="9" t="s">
        <v>122</v>
      </c>
      <c r="G7" s="9" t="s">
        <v>123</v>
      </c>
      <c r="H7" s="9" t="s">
        <v>124</v>
      </c>
      <c r="I7" s="9" t="s">
        <v>125</v>
      </c>
      <c r="J7" s="9" t="s">
        <v>126</v>
      </c>
      <c r="K7" s="9"/>
      <c r="L7" s="9"/>
      <c r="M7" s="9"/>
      <c r="N7" s="9" t="s">
        <v>127</v>
      </c>
      <c r="O7" s="9" t="s">
        <v>128</v>
      </c>
      <c r="P7" s="8" t="s">
        <v>129</v>
      </c>
      <c r="Q7" s="9" t="s">
        <v>64</v>
      </c>
      <c r="R7" s="9" t="s">
        <v>130</v>
      </c>
      <c r="S7" s="9" t="s">
        <v>131</v>
      </c>
      <c r="T7" s="9" t="s">
        <v>132</v>
      </c>
      <c r="U7" s="9" t="s">
        <v>133</v>
      </c>
      <c r="V7" s="10" t="n">
        <v>46291</v>
      </c>
      <c r="W7" s="8" t="s">
        <v>95</v>
      </c>
      <c r="X7" s="10"/>
      <c r="Y7" s="9" t="s">
        <v>134</v>
      </c>
    </row>
    <row r="8" customFormat="false" ht="45.75" hidden="false" customHeight="true" outlineLevel="0" collapsed="false">
      <c r="A8" s="8" t="n">
        <v>7</v>
      </c>
      <c r="B8" s="8" t="s">
        <v>23</v>
      </c>
      <c r="C8" s="8" t="s">
        <v>82</v>
      </c>
      <c r="D8" s="8" t="s">
        <v>82</v>
      </c>
      <c r="E8" s="9" t="s">
        <v>18</v>
      </c>
      <c r="F8" s="9" t="s">
        <v>135</v>
      </c>
      <c r="G8" s="9" t="s">
        <v>136</v>
      </c>
      <c r="H8" s="9" t="s">
        <v>137</v>
      </c>
      <c r="I8" s="9" t="s">
        <v>138</v>
      </c>
      <c r="J8" s="9" t="s">
        <v>139</v>
      </c>
      <c r="K8" s="9"/>
      <c r="L8" s="9"/>
      <c r="M8" s="9" t="s">
        <v>140</v>
      </c>
      <c r="N8" s="9" t="s">
        <v>141</v>
      </c>
      <c r="O8" s="9" t="s">
        <v>142</v>
      </c>
      <c r="P8" s="8" t="s">
        <v>129</v>
      </c>
      <c r="Q8" s="9" t="s">
        <v>106</v>
      </c>
      <c r="R8" s="9" t="s">
        <v>143</v>
      </c>
      <c r="S8" s="9" t="s">
        <v>144</v>
      </c>
      <c r="T8" s="9" t="s">
        <v>132</v>
      </c>
      <c r="U8" s="9" t="s">
        <v>133</v>
      </c>
      <c r="V8" s="10" t="n">
        <v>46291</v>
      </c>
      <c r="W8" s="8" t="s">
        <v>95</v>
      </c>
      <c r="X8" s="10"/>
      <c r="Y8" s="9" t="s">
        <v>134</v>
      </c>
    </row>
    <row r="9" customFormat="false" ht="45.75" hidden="false" customHeight="true" outlineLevel="0" collapsed="false">
      <c r="A9" s="8" t="n">
        <v>8</v>
      </c>
      <c r="B9" s="8" t="s">
        <v>23</v>
      </c>
      <c r="C9" s="8" t="s">
        <v>82</v>
      </c>
      <c r="D9" s="8" t="s">
        <v>82</v>
      </c>
      <c r="E9" s="9" t="s">
        <v>18</v>
      </c>
      <c r="F9" s="9" t="s">
        <v>145</v>
      </c>
      <c r="G9" s="9" t="s">
        <v>146</v>
      </c>
      <c r="H9" s="9" t="s">
        <v>147</v>
      </c>
      <c r="I9" s="9" t="s">
        <v>148</v>
      </c>
      <c r="J9" s="9" t="s">
        <v>149</v>
      </c>
      <c r="K9" s="9" t="s">
        <v>150</v>
      </c>
      <c r="L9" s="9"/>
      <c r="M9" s="9" t="s">
        <v>151</v>
      </c>
      <c r="N9" s="9" t="s">
        <v>152</v>
      </c>
      <c r="O9" s="9" t="s">
        <v>153</v>
      </c>
      <c r="P9" s="8" t="s">
        <v>63</v>
      </c>
      <c r="Q9" s="9" t="s">
        <v>106</v>
      </c>
      <c r="R9" s="9" t="s">
        <v>154</v>
      </c>
      <c r="S9" s="9" t="s">
        <v>155</v>
      </c>
      <c r="T9" s="9" t="s">
        <v>67</v>
      </c>
      <c r="U9" s="9" t="s">
        <v>8</v>
      </c>
      <c r="V9" s="10" t="n">
        <v>46291</v>
      </c>
      <c r="W9" s="8" t="s">
        <v>95</v>
      </c>
      <c r="X9" s="10"/>
      <c r="Y9" s="9" t="s">
        <v>156</v>
      </c>
    </row>
    <row r="10" customFormat="false" ht="45.75" hidden="false" customHeight="true" outlineLevel="0" collapsed="false">
      <c r="A10" s="8" t="n">
        <v>9</v>
      </c>
      <c r="B10" s="8" t="s">
        <v>23</v>
      </c>
      <c r="C10" s="8" t="s">
        <v>52</v>
      </c>
      <c r="D10" s="8" t="s">
        <v>52</v>
      </c>
      <c r="E10" s="9" t="s">
        <v>18</v>
      </c>
      <c r="F10" s="9" t="s">
        <v>157</v>
      </c>
      <c r="G10" s="9" t="s">
        <v>158</v>
      </c>
      <c r="H10" s="9" t="s">
        <v>159</v>
      </c>
      <c r="I10" s="9" t="s">
        <v>160</v>
      </c>
      <c r="J10" s="9" t="s">
        <v>161</v>
      </c>
      <c r="K10" s="9" t="s">
        <v>162</v>
      </c>
      <c r="L10" s="9"/>
      <c r="M10" s="9" t="s">
        <v>163</v>
      </c>
      <c r="N10" s="9" t="s">
        <v>164</v>
      </c>
      <c r="O10" s="9" t="s">
        <v>165</v>
      </c>
      <c r="P10" s="8" t="s">
        <v>63</v>
      </c>
      <c r="Q10" s="9" t="s">
        <v>106</v>
      </c>
      <c r="R10" s="9" t="s">
        <v>166</v>
      </c>
      <c r="S10" s="9" t="s">
        <v>167</v>
      </c>
      <c r="T10" s="9" t="s">
        <v>67</v>
      </c>
      <c r="U10" s="9" t="s">
        <v>8</v>
      </c>
      <c r="V10" s="10" t="n">
        <v>46291</v>
      </c>
      <c r="W10" s="8" t="s">
        <v>14</v>
      </c>
      <c r="X10" s="10" t="n">
        <v>46291</v>
      </c>
      <c r="Y10" s="9" t="s">
        <v>168</v>
      </c>
    </row>
    <row r="11" customFormat="false" ht="45.75" hidden="false" customHeight="true" outlineLevel="0" collapsed="false">
      <c r="A11" s="8" t="n">
        <v>10</v>
      </c>
      <c r="B11" s="8" t="s">
        <v>23</v>
      </c>
      <c r="C11" s="8" t="s">
        <v>110</v>
      </c>
      <c r="D11" s="8" t="s">
        <v>110</v>
      </c>
      <c r="E11" s="9" t="s">
        <v>18</v>
      </c>
      <c r="F11" s="9" t="s">
        <v>169</v>
      </c>
      <c r="G11" s="9" t="s">
        <v>158</v>
      </c>
      <c r="H11" s="9" t="s">
        <v>170</v>
      </c>
      <c r="I11" s="9" t="s">
        <v>171</v>
      </c>
      <c r="J11" s="9" t="s">
        <v>172</v>
      </c>
      <c r="K11" s="9" t="s">
        <v>173</v>
      </c>
      <c r="L11" s="9" t="s">
        <v>174</v>
      </c>
      <c r="M11" s="9" t="s">
        <v>175</v>
      </c>
      <c r="N11" s="9" t="s">
        <v>176</v>
      </c>
      <c r="O11" s="9" t="s">
        <v>176</v>
      </c>
      <c r="P11" s="8" t="s">
        <v>63</v>
      </c>
      <c r="Q11" s="9" t="s">
        <v>106</v>
      </c>
      <c r="R11" s="9" t="s">
        <v>166</v>
      </c>
      <c r="S11" s="9" t="s">
        <v>177</v>
      </c>
      <c r="T11" s="9" t="s">
        <v>67</v>
      </c>
      <c r="U11" s="9" t="s">
        <v>8</v>
      </c>
      <c r="V11" s="10" t="n">
        <v>46291</v>
      </c>
      <c r="W11" s="8" t="s">
        <v>14</v>
      </c>
      <c r="X11" s="10" t="n">
        <v>46291</v>
      </c>
      <c r="Y11" s="9" t="s">
        <v>178</v>
      </c>
    </row>
    <row r="12" customFormat="false" ht="57" hidden="false" customHeight="true" outlineLevel="0" collapsed="false">
      <c r="A12" s="8" t="n">
        <v>11</v>
      </c>
      <c r="B12" s="8" t="s">
        <v>23</v>
      </c>
      <c r="C12" s="8" t="s">
        <v>82</v>
      </c>
      <c r="D12" s="8" t="s">
        <v>82</v>
      </c>
      <c r="E12" s="9" t="s">
        <v>15</v>
      </c>
      <c r="F12" s="9" t="s">
        <v>179</v>
      </c>
      <c r="G12" s="9" t="s">
        <v>180</v>
      </c>
      <c r="H12" s="9" t="s">
        <v>181</v>
      </c>
      <c r="I12" s="9" t="s">
        <v>182</v>
      </c>
      <c r="J12" s="9" t="s">
        <v>183</v>
      </c>
      <c r="K12" s="9" t="s">
        <v>184</v>
      </c>
      <c r="L12" s="9" t="s">
        <v>185</v>
      </c>
      <c r="M12" s="9" t="s">
        <v>186</v>
      </c>
      <c r="N12" s="9" t="s">
        <v>187</v>
      </c>
      <c r="O12" s="9" t="s">
        <v>187</v>
      </c>
      <c r="P12" s="8" t="s">
        <v>63</v>
      </c>
      <c r="Q12" s="9" t="s">
        <v>188</v>
      </c>
      <c r="R12" s="9" t="s">
        <v>189</v>
      </c>
      <c r="S12" s="9" t="s">
        <v>190</v>
      </c>
      <c r="T12" s="9" t="s">
        <v>67</v>
      </c>
      <c r="U12" s="9" t="s">
        <v>8</v>
      </c>
      <c r="V12" s="10" t="n">
        <v>46291</v>
      </c>
      <c r="W12" s="8" t="s">
        <v>68</v>
      </c>
      <c r="X12" s="10"/>
      <c r="Y12" s="9" t="s">
        <v>69</v>
      </c>
    </row>
    <row r="13" customFormat="false" ht="45.75" hidden="false" customHeight="true" outlineLevel="0" collapsed="false">
      <c r="A13" s="8" t="n">
        <v>12</v>
      </c>
      <c r="B13" s="8" t="s">
        <v>23</v>
      </c>
      <c r="C13" s="8" t="s">
        <v>52</v>
      </c>
      <c r="D13" s="8" t="s">
        <v>52</v>
      </c>
      <c r="E13" s="9" t="s">
        <v>191</v>
      </c>
      <c r="F13" s="9" t="s">
        <v>192</v>
      </c>
      <c r="G13" s="9" t="s">
        <v>193</v>
      </c>
      <c r="H13" s="9" t="s">
        <v>194</v>
      </c>
      <c r="I13" s="9" t="s">
        <v>195</v>
      </c>
      <c r="J13" s="9" t="s">
        <v>196</v>
      </c>
      <c r="K13" s="9" t="s">
        <v>197</v>
      </c>
      <c r="L13" s="9" t="s">
        <v>198</v>
      </c>
      <c r="M13" s="9"/>
      <c r="N13" s="9" t="s">
        <v>199</v>
      </c>
      <c r="O13" s="9" t="s">
        <v>200</v>
      </c>
      <c r="P13" s="8" t="s">
        <v>63</v>
      </c>
      <c r="Q13" s="9" t="s">
        <v>201</v>
      </c>
      <c r="R13" s="9" t="s">
        <v>202</v>
      </c>
      <c r="S13" s="9" t="s">
        <v>203</v>
      </c>
      <c r="T13" s="9" t="s">
        <v>80</v>
      </c>
      <c r="U13" s="9" t="s">
        <v>81</v>
      </c>
      <c r="V13" s="10" t="n">
        <v>46291</v>
      </c>
      <c r="W13" s="8" t="s">
        <v>14</v>
      </c>
      <c r="X13" s="10" t="n">
        <v>46291</v>
      </c>
      <c r="Y13" s="9" t="s">
        <v>204</v>
      </c>
    </row>
    <row r="14" customFormat="false" ht="57" hidden="false" customHeight="true" outlineLevel="0" collapsed="false">
      <c r="A14" s="8" t="n">
        <v>13</v>
      </c>
      <c r="B14" s="8" t="s">
        <v>23</v>
      </c>
      <c r="C14" s="8" t="s">
        <v>52</v>
      </c>
      <c r="D14" s="8" t="s">
        <v>52</v>
      </c>
      <c r="E14" s="9" t="s">
        <v>191</v>
      </c>
      <c r="F14" s="9" t="s">
        <v>205</v>
      </c>
      <c r="G14" s="9" t="s">
        <v>206</v>
      </c>
      <c r="H14" s="9" t="s">
        <v>207</v>
      </c>
      <c r="I14" s="9" t="s">
        <v>208</v>
      </c>
      <c r="J14" s="9" t="s">
        <v>209</v>
      </c>
      <c r="K14" s="9" t="s">
        <v>210</v>
      </c>
      <c r="L14" s="9" t="s">
        <v>211</v>
      </c>
      <c r="M14" s="9" t="s">
        <v>212</v>
      </c>
      <c r="N14" s="9" t="s">
        <v>213</v>
      </c>
      <c r="O14" s="9" t="s">
        <v>214</v>
      </c>
      <c r="P14" s="8" t="s">
        <v>63</v>
      </c>
      <c r="Q14" s="9" t="s">
        <v>201</v>
      </c>
      <c r="R14" s="9" t="s">
        <v>215</v>
      </c>
      <c r="S14" s="9" t="s">
        <v>216</v>
      </c>
      <c r="T14" s="9" t="s">
        <v>67</v>
      </c>
      <c r="U14" s="9" t="s">
        <v>8</v>
      </c>
      <c r="V14" s="10" t="n">
        <v>46291</v>
      </c>
      <c r="W14" s="8" t="s">
        <v>14</v>
      </c>
      <c r="X14" s="10" t="n">
        <v>46291</v>
      </c>
      <c r="Y14" s="9" t="s">
        <v>217</v>
      </c>
    </row>
    <row r="15" customFormat="false" ht="45.75" hidden="false" customHeight="true" outlineLevel="0" collapsed="false">
      <c r="A15" s="8" t="n">
        <v>14</v>
      </c>
      <c r="B15" s="8" t="s">
        <v>23</v>
      </c>
      <c r="C15" s="8" t="s">
        <v>110</v>
      </c>
      <c r="D15" s="8" t="s">
        <v>110</v>
      </c>
      <c r="E15" s="9" t="s">
        <v>191</v>
      </c>
      <c r="F15" s="9" t="s">
        <v>218</v>
      </c>
      <c r="G15" s="9" t="s">
        <v>123</v>
      </c>
      <c r="H15" s="9" t="s">
        <v>219</v>
      </c>
      <c r="I15" s="9" t="s">
        <v>220</v>
      </c>
      <c r="J15" s="9" t="s">
        <v>221</v>
      </c>
      <c r="K15" s="9" t="s">
        <v>222</v>
      </c>
      <c r="L15" s="9" t="s">
        <v>223</v>
      </c>
      <c r="M15" s="9"/>
      <c r="N15" s="9" t="s">
        <v>224</v>
      </c>
      <c r="O15" s="9" t="s">
        <v>224</v>
      </c>
      <c r="P15" s="8" t="s">
        <v>63</v>
      </c>
      <c r="Q15" s="9" t="s">
        <v>201</v>
      </c>
      <c r="R15" s="9" t="s">
        <v>130</v>
      </c>
      <c r="S15" s="9" t="s">
        <v>225</v>
      </c>
      <c r="T15" s="9" t="s">
        <v>80</v>
      </c>
      <c r="U15" s="9" t="s">
        <v>81</v>
      </c>
      <c r="V15" s="10" t="n">
        <v>46291</v>
      </c>
      <c r="W15" s="8" t="s">
        <v>14</v>
      </c>
      <c r="X15" s="10" t="n">
        <v>46291</v>
      </c>
      <c r="Y15" s="9" t="s">
        <v>226</v>
      </c>
    </row>
    <row r="16" customFormat="false" ht="57" hidden="false" customHeight="true" outlineLevel="0" collapsed="false">
      <c r="A16" s="8" t="n">
        <v>15</v>
      </c>
      <c r="B16" s="8" t="s">
        <v>23</v>
      </c>
      <c r="C16" s="8" t="s">
        <v>52</v>
      </c>
      <c r="D16" s="8" t="s">
        <v>227</v>
      </c>
      <c r="E16" s="9" t="s">
        <v>15</v>
      </c>
      <c r="F16" s="9" t="s">
        <v>228</v>
      </c>
      <c r="G16" s="9" t="s">
        <v>229</v>
      </c>
      <c r="H16" s="9" t="s">
        <v>230</v>
      </c>
      <c r="I16" s="9" t="s">
        <v>231</v>
      </c>
      <c r="J16" s="9" t="s">
        <v>232</v>
      </c>
      <c r="K16" s="9" t="s">
        <v>233</v>
      </c>
      <c r="L16" s="9" t="s">
        <v>234</v>
      </c>
      <c r="M16" s="9"/>
      <c r="N16" s="9" t="s">
        <v>235</v>
      </c>
      <c r="O16" s="9" t="s">
        <v>236</v>
      </c>
      <c r="P16" s="8" t="s">
        <v>129</v>
      </c>
      <c r="Q16" s="9" t="s">
        <v>188</v>
      </c>
      <c r="R16" s="9" t="s">
        <v>237</v>
      </c>
      <c r="S16" s="9" t="s">
        <v>238</v>
      </c>
      <c r="T16" s="9" t="s">
        <v>80</v>
      </c>
      <c r="U16" s="9" t="s">
        <v>81</v>
      </c>
      <c r="V16" s="10" t="n">
        <v>46291</v>
      </c>
      <c r="W16" s="8" t="s">
        <v>14</v>
      </c>
      <c r="X16" s="10" t="n">
        <v>46291</v>
      </c>
      <c r="Y16" s="9" t="s">
        <v>239</v>
      </c>
    </row>
    <row r="17" customFormat="false" ht="57" hidden="false" customHeight="true" outlineLevel="0" collapsed="false">
      <c r="A17" s="8" t="n">
        <v>16</v>
      </c>
      <c r="B17" s="8" t="s">
        <v>23</v>
      </c>
      <c r="C17" s="8" t="s">
        <v>82</v>
      </c>
      <c r="D17" s="8" t="s">
        <v>82</v>
      </c>
      <c r="E17" s="9" t="s">
        <v>191</v>
      </c>
      <c r="F17" s="9" t="s">
        <v>240</v>
      </c>
      <c r="G17" s="9" t="s">
        <v>241</v>
      </c>
      <c r="H17" s="9" t="s">
        <v>242</v>
      </c>
      <c r="I17" s="9" t="s">
        <v>243</v>
      </c>
      <c r="J17" s="9" t="s">
        <v>244</v>
      </c>
      <c r="K17" s="9" t="s">
        <v>245</v>
      </c>
      <c r="L17" s="9" t="s">
        <v>246</v>
      </c>
      <c r="M17" s="9" t="s">
        <v>247</v>
      </c>
      <c r="N17" s="9" t="s">
        <v>248</v>
      </c>
      <c r="O17" s="9" t="s">
        <v>249</v>
      </c>
      <c r="P17" s="8" t="s">
        <v>63</v>
      </c>
      <c r="Q17" s="9" t="s">
        <v>201</v>
      </c>
      <c r="R17" s="9" t="s">
        <v>250</v>
      </c>
      <c r="S17" s="9" t="s">
        <v>251</v>
      </c>
      <c r="T17" s="9" t="s">
        <v>80</v>
      </c>
      <c r="U17" s="9" t="s">
        <v>81</v>
      </c>
      <c r="V17" s="10" t="n">
        <v>46291</v>
      </c>
      <c r="W17" s="8" t="s">
        <v>14</v>
      </c>
      <c r="X17" s="10" t="n">
        <v>46291</v>
      </c>
      <c r="Y17" s="9" t="s">
        <v>252</v>
      </c>
    </row>
    <row r="18" customFormat="false" ht="45.75" hidden="false" customHeight="true" outlineLevel="0" collapsed="false">
      <c r="A18" s="8" t="n">
        <v>17</v>
      </c>
      <c r="B18" s="8" t="s">
        <v>23</v>
      </c>
      <c r="C18" s="8" t="s">
        <v>82</v>
      </c>
      <c r="D18" s="8" t="s">
        <v>82</v>
      </c>
      <c r="E18" s="9" t="s">
        <v>15</v>
      </c>
      <c r="F18" s="9" t="s">
        <v>253</v>
      </c>
      <c r="G18" s="9" t="s">
        <v>254</v>
      </c>
      <c r="H18" s="9" t="s">
        <v>255</v>
      </c>
      <c r="I18" s="9" t="s">
        <v>256</v>
      </c>
      <c r="J18" s="9" t="s">
        <v>257</v>
      </c>
      <c r="K18" s="9" t="s">
        <v>258</v>
      </c>
      <c r="L18" s="9" t="s">
        <v>259</v>
      </c>
      <c r="M18" s="9"/>
      <c r="N18" s="9" t="s">
        <v>260</v>
      </c>
      <c r="O18" s="9" t="s">
        <v>261</v>
      </c>
      <c r="P18" s="8" t="s">
        <v>129</v>
      </c>
      <c r="Q18" s="9" t="s">
        <v>188</v>
      </c>
      <c r="R18" s="9" t="s">
        <v>262</v>
      </c>
      <c r="S18" s="9" t="s">
        <v>263</v>
      </c>
      <c r="T18" s="9" t="s">
        <v>80</v>
      </c>
      <c r="U18" s="9" t="s">
        <v>81</v>
      </c>
      <c r="V18" s="10" t="n">
        <v>46291</v>
      </c>
      <c r="W18" s="8" t="s">
        <v>14</v>
      </c>
      <c r="X18" s="10" t="n">
        <v>46291</v>
      </c>
      <c r="Y18" s="9" t="s">
        <v>264</v>
      </c>
    </row>
    <row r="19" customFormat="false" ht="45.75" hidden="false" customHeight="true" outlineLevel="0" collapsed="false">
      <c r="A19" s="8" t="n">
        <v>18</v>
      </c>
      <c r="B19" s="8" t="s">
        <v>23</v>
      </c>
      <c r="C19" s="8" t="s">
        <v>265</v>
      </c>
      <c r="D19" s="8" t="s">
        <v>82</v>
      </c>
      <c r="E19" s="9" t="s">
        <v>15</v>
      </c>
      <c r="F19" s="9" t="s">
        <v>266</v>
      </c>
      <c r="G19" s="9" t="s">
        <v>267</v>
      </c>
      <c r="H19" s="9" t="s">
        <v>268</v>
      </c>
      <c r="I19" s="9" t="s">
        <v>269</v>
      </c>
      <c r="J19" s="9" t="s">
        <v>270</v>
      </c>
      <c r="K19" s="9"/>
      <c r="L19" s="9"/>
      <c r="M19" s="9"/>
      <c r="N19" s="9" t="s">
        <v>271</v>
      </c>
      <c r="O19" s="9" t="s">
        <v>271</v>
      </c>
      <c r="P19" s="8" t="s">
        <v>129</v>
      </c>
      <c r="Q19" s="9" t="s">
        <v>188</v>
      </c>
      <c r="R19" s="9" t="s">
        <v>272</v>
      </c>
      <c r="S19" s="9" t="s">
        <v>273</v>
      </c>
      <c r="T19" s="9" t="s">
        <v>132</v>
      </c>
      <c r="U19" s="9" t="s">
        <v>133</v>
      </c>
      <c r="V19" s="10" t="n">
        <v>46291</v>
      </c>
      <c r="W19" s="8" t="s">
        <v>95</v>
      </c>
      <c r="X19" s="10"/>
      <c r="Y19" s="9" t="s">
        <v>134</v>
      </c>
    </row>
    <row r="20" customFormat="false" ht="57" hidden="false" customHeight="true" outlineLevel="0" collapsed="false">
      <c r="A20" s="8" t="n">
        <v>19</v>
      </c>
      <c r="B20" s="8" t="s">
        <v>23</v>
      </c>
      <c r="C20" s="8" t="s">
        <v>110</v>
      </c>
      <c r="D20" s="8" t="s">
        <v>110</v>
      </c>
      <c r="E20" s="9" t="s">
        <v>15</v>
      </c>
      <c r="F20" s="9" t="s">
        <v>274</v>
      </c>
      <c r="G20" s="9" t="s">
        <v>275</v>
      </c>
      <c r="H20" s="9" t="s">
        <v>276</v>
      </c>
      <c r="I20" s="9" t="s">
        <v>277</v>
      </c>
      <c r="J20" s="9" t="s">
        <v>278</v>
      </c>
      <c r="K20" s="9"/>
      <c r="L20" s="9"/>
      <c r="M20" s="9"/>
      <c r="N20" s="9" t="s">
        <v>279</v>
      </c>
      <c r="O20" s="9" t="s">
        <v>279</v>
      </c>
      <c r="P20" s="8" t="s">
        <v>280</v>
      </c>
      <c r="Q20" s="9" t="s">
        <v>188</v>
      </c>
      <c r="R20" s="9" t="s">
        <v>281</v>
      </c>
      <c r="S20" s="9" t="s">
        <v>282</v>
      </c>
      <c r="T20" s="9" t="s">
        <v>132</v>
      </c>
      <c r="U20" s="9" t="s">
        <v>133</v>
      </c>
      <c r="V20" s="10" t="n">
        <v>46291</v>
      </c>
      <c r="W20" s="8" t="s">
        <v>95</v>
      </c>
      <c r="X20" s="10"/>
      <c r="Y20" s="9" t="s">
        <v>134</v>
      </c>
    </row>
    <row r="21" customFormat="false" ht="57" hidden="false" customHeight="true" outlineLevel="0" collapsed="false">
      <c r="A21" s="8" t="n">
        <v>20</v>
      </c>
      <c r="B21" s="8" t="s">
        <v>24</v>
      </c>
      <c r="C21" s="8" t="s">
        <v>283</v>
      </c>
      <c r="D21" s="8" t="s">
        <v>283</v>
      </c>
      <c r="E21" s="9" t="s">
        <v>18</v>
      </c>
      <c r="F21" s="9" t="s">
        <v>284</v>
      </c>
      <c r="G21" s="9" t="s">
        <v>285</v>
      </c>
      <c r="H21" s="9" t="s">
        <v>286</v>
      </c>
      <c r="I21" s="9" t="s">
        <v>287</v>
      </c>
      <c r="J21" s="9" t="s">
        <v>285</v>
      </c>
      <c r="K21" s="9" t="s">
        <v>288</v>
      </c>
      <c r="L21" s="9" t="s">
        <v>289</v>
      </c>
      <c r="M21" s="9" t="s">
        <v>290</v>
      </c>
      <c r="N21" s="9" t="s">
        <v>291</v>
      </c>
      <c r="O21" s="9" t="s">
        <v>292</v>
      </c>
      <c r="P21" s="8" t="s">
        <v>63</v>
      </c>
      <c r="Q21" s="9" t="s">
        <v>106</v>
      </c>
      <c r="R21" s="9" t="s">
        <v>293</v>
      </c>
      <c r="S21" s="9" t="s">
        <v>294</v>
      </c>
      <c r="T21" s="9" t="s">
        <v>67</v>
      </c>
      <c r="U21" s="9" t="s">
        <v>8</v>
      </c>
      <c r="V21" s="10" t="n">
        <v>46291</v>
      </c>
      <c r="W21" s="8" t="s">
        <v>14</v>
      </c>
      <c r="X21" s="10" t="n">
        <v>46291</v>
      </c>
      <c r="Y21" s="9" t="s">
        <v>295</v>
      </c>
    </row>
    <row r="22" customFormat="false" ht="45.75" hidden="false" customHeight="true" outlineLevel="0" collapsed="false">
      <c r="A22" s="8" t="n">
        <v>21</v>
      </c>
      <c r="B22" s="8" t="s">
        <v>24</v>
      </c>
      <c r="C22" s="8" t="s">
        <v>283</v>
      </c>
      <c r="D22" s="8" t="s">
        <v>283</v>
      </c>
      <c r="E22" s="9" t="s">
        <v>18</v>
      </c>
      <c r="F22" s="9" t="s">
        <v>296</v>
      </c>
      <c r="G22" s="9" t="s">
        <v>297</v>
      </c>
      <c r="H22" s="9" t="s">
        <v>298</v>
      </c>
      <c r="I22" s="9" t="s">
        <v>299</v>
      </c>
      <c r="J22" s="9" t="s">
        <v>300</v>
      </c>
      <c r="K22" s="9" t="s">
        <v>301</v>
      </c>
      <c r="L22" s="9"/>
      <c r="M22" s="9" t="s">
        <v>302</v>
      </c>
      <c r="N22" s="9" t="s">
        <v>303</v>
      </c>
      <c r="O22" s="9" t="s">
        <v>304</v>
      </c>
      <c r="P22" s="8" t="s">
        <v>63</v>
      </c>
      <c r="Q22" s="9" t="s">
        <v>106</v>
      </c>
      <c r="R22" s="9" t="s">
        <v>305</v>
      </c>
      <c r="S22" s="9" t="s">
        <v>306</v>
      </c>
      <c r="T22" s="9" t="s">
        <v>67</v>
      </c>
      <c r="U22" s="9" t="s">
        <v>8</v>
      </c>
      <c r="V22" s="10" t="n">
        <v>46291</v>
      </c>
      <c r="W22" s="8" t="s">
        <v>95</v>
      </c>
      <c r="X22" s="10"/>
      <c r="Y22" s="9" t="s">
        <v>307</v>
      </c>
    </row>
    <row r="23" customFormat="false" ht="57" hidden="false" customHeight="true" outlineLevel="0" collapsed="false">
      <c r="A23" s="8" t="n">
        <v>22</v>
      </c>
      <c r="B23" s="8" t="s">
        <v>24</v>
      </c>
      <c r="C23" s="8" t="s">
        <v>283</v>
      </c>
      <c r="D23" s="8" t="s">
        <v>283</v>
      </c>
      <c r="E23" s="9" t="s">
        <v>18</v>
      </c>
      <c r="F23" s="9" t="s">
        <v>296</v>
      </c>
      <c r="G23" s="9" t="s">
        <v>308</v>
      </c>
      <c r="H23" s="9" t="s">
        <v>309</v>
      </c>
      <c r="I23" s="9" t="s">
        <v>310</v>
      </c>
      <c r="J23" s="9" t="s">
        <v>311</v>
      </c>
      <c r="K23" s="9" t="s">
        <v>301</v>
      </c>
      <c r="L23" s="9"/>
      <c r="M23" s="9" t="s">
        <v>302</v>
      </c>
      <c r="N23" s="9" t="s">
        <v>312</v>
      </c>
      <c r="O23" s="9" t="s">
        <v>313</v>
      </c>
      <c r="P23" s="8" t="s">
        <v>129</v>
      </c>
      <c r="Q23" s="9" t="s">
        <v>106</v>
      </c>
      <c r="R23" s="9" t="s">
        <v>314</v>
      </c>
      <c r="S23" s="9" t="s">
        <v>315</v>
      </c>
      <c r="T23" s="9" t="s">
        <v>67</v>
      </c>
      <c r="U23" s="9" t="s">
        <v>8</v>
      </c>
      <c r="V23" s="10" t="n">
        <v>46291</v>
      </c>
      <c r="W23" s="8" t="s">
        <v>95</v>
      </c>
      <c r="X23" s="10"/>
      <c r="Y23" s="9" t="s">
        <v>307</v>
      </c>
    </row>
    <row r="24" customFormat="false" ht="45.75" hidden="false" customHeight="true" outlineLevel="0" collapsed="false">
      <c r="A24" s="8" t="n">
        <v>23</v>
      </c>
      <c r="B24" s="8" t="s">
        <v>24</v>
      </c>
      <c r="C24" s="8" t="s">
        <v>283</v>
      </c>
      <c r="D24" s="8" t="s">
        <v>283</v>
      </c>
      <c r="E24" s="9" t="s">
        <v>53</v>
      </c>
      <c r="F24" s="9" t="s">
        <v>316</v>
      </c>
      <c r="G24" s="9" t="s">
        <v>317</v>
      </c>
      <c r="H24" s="9" t="s">
        <v>318</v>
      </c>
      <c r="I24" s="9" t="s">
        <v>319</v>
      </c>
      <c r="J24" s="9" t="s">
        <v>320</v>
      </c>
      <c r="K24" s="9" t="s">
        <v>321</v>
      </c>
      <c r="L24" s="9"/>
      <c r="M24" s="9"/>
      <c r="N24" s="9" t="s">
        <v>322</v>
      </c>
      <c r="O24" s="9" t="s">
        <v>323</v>
      </c>
      <c r="P24" s="8" t="s">
        <v>63</v>
      </c>
      <c r="Q24" s="9" t="s">
        <v>64</v>
      </c>
      <c r="R24" s="9" t="s">
        <v>324</v>
      </c>
      <c r="S24" s="9" t="s">
        <v>325</v>
      </c>
      <c r="T24" s="9" t="s">
        <v>67</v>
      </c>
      <c r="U24" s="9" t="s">
        <v>8</v>
      </c>
      <c r="V24" s="10" t="n">
        <v>46291</v>
      </c>
      <c r="W24" s="8" t="s">
        <v>14</v>
      </c>
      <c r="X24" s="10" t="n">
        <v>46291</v>
      </c>
      <c r="Y24" s="9" t="s">
        <v>326</v>
      </c>
    </row>
    <row r="25" customFormat="false" ht="57" hidden="false" customHeight="true" outlineLevel="0" collapsed="false">
      <c r="A25" s="8" t="n">
        <v>24</v>
      </c>
      <c r="B25" s="8" t="s">
        <v>24</v>
      </c>
      <c r="C25" s="8" t="s">
        <v>327</v>
      </c>
      <c r="D25" s="8" t="s">
        <v>328</v>
      </c>
      <c r="E25" s="9" t="s">
        <v>191</v>
      </c>
      <c r="F25" s="9" t="s">
        <v>329</v>
      </c>
      <c r="G25" s="9" t="s">
        <v>330</v>
      </c>
      <c r="H25" s="9" t="s">
        <v>331</v>
      </c>
      <c r="I25" s="9" t="s">
        <v>332</v>
      </c>
      <c r="J25" s="9" t="s">
        <v>330</v>
      </c>
      <c r="K25" s="9" t="s">
        <v>333</v>
      </c>
      <c r="L25" s="9" t="s">
        <v>334</v>
      </c>
      <c r="M25" s="9"/>
      <c r="N25" s="9" t="s">
        <v>335</v>
      </c>
      <c r="O25" s="9" t="s">
        <v>336</v>
      </c>
      <c r="P25" s="8" t="s">
        <v>63</v>
      </c>
      <c r="Q25" s="9" t="s">
        <v>201</v>
      </c>
      <c r="R25" s="9" t="s">
        <v>337</v>
      </c>
      <c r="S25" s="9" t="s">
        <v>338</v>
      </c>
      <c r="T25" s="9" t="s">
        <v>67</v>
      </c>
      <c r="U25" s="9" t="s">
        <v>8</v>
      </c>
      <c r="V25" s="10" t="n">
        <v>46291</v>
      </c>
      <c r="W25" s="8" t="s">
        <v>14</v>
      </c>
      <c r="X25" s="10" t="n">
        <v>46291</v>
      </c>
      <c r="Y25" s="9" t="s">
        <v>339</v>
      </c>
    </row>
    <row r="26" customFormat="false" ht="45.75" hidden="false" customHeight="true" outlineLevel="0" collapsed="false">
      <c r="A26" s="8" t="n">
        <v>25</v>
      </c>
      <c r="B26" s="8" t="s">
        <v>24</v>
      </c>
      <c r="C26" s="8" t="s">
        <v>327</v>
      </c>
      <c r="D26" s="8" t="s">
        <v>328</v>
      </c>
      <c r="E26" s="9" t="s">
        <v>53</v>
      </c>
      <c r="F26" s="9" t="s">
        <v>340</v>
      </c>
      <c r="G26" s="9" t="s">
        <v>341</v>
      </c>
      <c r="H26" s="9" t="s">
        <v>342</v>
      </c>
      <c r="I26" s="9" t="s">
        <v>343</v>
      </c>
      <c r="J26" s="9" t="s">
        <v>344</v>
      </c>
      <c r="K26" s="9" t="s">
        <v>345</v>
      </c>
      <c r="L26" s="9"/>
      <c r="M26" s="9"/>
      <c r="N26" s="9" t="s">
        <v>346</v>
      </c>
      <c r="O26" s="9" t="s">
        <v>346</v>
      </c>
      <c r="P26" s="8" t="s">
        <v>63</v>
      </c>
      <c r="Q26" s="9" t="s">
        <v>64</v>
      </c>
      <c r="R26" s="9" t="s">
        <v>347</v>
      </c>
      <c r="S26" s="9" t="s">
        <v>348</v>
      </c>
      <c r="T26" s="9" t="s">
        <v>67</v>
      </c>
      <c r="U26" s="9" t="s">
        <v>8</v>
      </c>
      <c r="V26" s="10" t="n">
        <v>46291</v>
      </c>
      <c r="W26" s="8" t="s">
        <v>95</v>
      </c>
      <c r="X26" s="10"/>
      <c r="Y26" s="9" t="s">
        <v>349</v>
      </c>
    </row>
    <row r="27" customFormat="false" ht="45.75" hidden="false" customHeight="true" outlineLevel="0" collapsed="false">
      <c r="A27" s="8" t="n">
        <v>26</v>
      </c>
      <c r="B27" s="8" t="s">
        <v>24</v>
      </c>
      <c r="C27" s="8" t="s">
        <v>327</v>
      </c>
      <c r="D27" s="8" t="s">
        <v>328</v>
      </c>
      <c r="E27" s="9" t="s">
        <v>53</v>
      </c>
      <c r="F27" s="9" t="s">
        <v>340</v>
      </c>
      <c r="G27" s="9" t="s">
        <v>350</v>
      </c>
      <c r="H27" s="9" t="s">
        <v>351</v>
      </c>
      <c r="I27" s="9" t="s">
        <v>352</v>
      </c>
      <c r="J27" s="9" t="s">
        <v>353</v>
      </c>
      <c r="K27" s="9" t="s">
        <v>354</v>
      </c>
      <c r="L27" s="9" t="s">
        <v>334</v>
      </c>
      <c r="M27" s="9"/>
      <c r="N27" s="9" t="s">
        <v>336</v>
      </c>
      <c r="O27" s="9" t="s">
        <v>355</v>
      </c>
      <c r="P27" s="8" t="s">
        <v>63</v>
      </c>
      <c r="Q27" s="9" t="s">
        <v>64</v>
      </c>
      <c r="R27" s="9" t="s">
        <v>356</v>
      </c>
      <c r="S27" s="9" t="s">
        <v>357</v>
      </c>
      <c r="T27" s="9" t="s">
        <v>67</v>
      </c>
      <c r="U27" s="9" t="s">
        <v>8</v>
      </c>
      <c r="V27" s="10" t="n">
        <v>46291</v>
      </c>
      <c r="W27" s="8" t="s">
        <v>95</v>
      </c>
      <c r="X27" s="10"/>
      <c r="Y27" s="9" t="s">
        <v>349</v>
      </c>
    </row>
    <row r="28" customFormat="false" ht="45.75" hidden="false" customHeight="true" outlineLevel="0" collapsed="false">
      <c r="A28" s="8" t="n">
        <v>27</v>
      </c>
      <c r="B28" s="8" t="s">
        <v>24</v>
      </c>
      <c r="C28" s="8" t="s">
        <v>283</v>
      </c>
      <c r="D28" s="8" t="s">
        <v>283</v>
      </c>
      <c r="E28" s="9" t="s">
        <v>15</v>
      </c>
      <c r="F28" s="9" t="s">
        <v>358</v>
      </c>
      <c r="G28" s="9" t="s">
        <v>359</v>
      </c>
      <c r="H28" s="9" t="s">
        <v>360</v>
      </c>
      <c r="I28" s="9" t="s">
        <v>361</v>
      </c>
      <c r="J28" s="9" t="s">
        <v>362</v>
      </c>
      <c r="K28" s="9" t="s">
        <v>363</v>
      </c>
      <c r="L28" s="9" t="s">
        <v>364</v>
      </c>
      <c r="M28" s="9" t="s">
        <v>365</v>
      </c>
      <c r="N28" s="9" t="s">
        <v>366</v>
      </c>
      <c r="O28" s="9" t="s">
        <v>366</v>
      </c>
      <c r="P28" s="8" t="s">
        <v>63</v>
      </c>
      <c r="Q28" s="9" t="s">
        <v>188</v>
      </c>
      <c r="R28" s="9" t="s">
        <v>367</v>
      </c>
      <c r="S28" s="9" t="s">
        <v>368</v>
      </c>
      <c r="T28" s="9" t="s">
        <v>80</v>
      </c>
      <c r="U28" s="9" t="s">
        <v>81</v>
      </c>
      <c r="V28" s="10" t="n">
        <v>46291</v>
      </c>
      <c r="W28" s="8" t="s">
        <v>14</v>
      </c>
      <c r="X28" s="10" t="n">
        <v>46291</v>
      </c>
      <c r="Y28" s="9" t="s">
        <v>369</v>
      </c>
    </row>
    <row r="29" customFormat="false" ht="45.75" hidden="false" customHeight="true" outlineLevel="0" collapsed="false">
      <c r="A29" s="8" t="n">
        <v>28</v>
      </c>
      <c r="B29" s="8" t="s">
        <v>24</v>
      </c>
      <c r="C29" s="8" t="s">
        <v>327</v>
      </c>
      <c r="D29" s="8" t="s">
        <v>370</v>
      </c>
      <c r="E29" s="9" t="s">
        <v>191</v>
      </c>
      <c r="F29" s="9" t="s">
        <v>371</v>
      </c>
      <c r="G29" s="9" t="s">
        <v>372</v>
      </c>
      <c r="H29" s="9" t="s">
        <v>373</v>
      </c>
      <c r="I29" s="9" t="s">
        <v>374</v>
      </c>
      <c r="J29" s="9" t="s">
        <v>375</v>
      </c>
      <c r="K29" s="9" t="s">
        <v>376</v>
      </c>
      <c r="L29" s="9"/>
      <c r="M29" s="9"/>
      <c r="N29" s="9" t="s">
        <v>377</v>
      </c>
      <c r="O29" s="9" t="s">
        <v>377</v>
      </c>
      <c r="P29" s="8" t="s">
        <v>63</v>
      </c>
      <c r="Q29" s="9" t="s">
        <v>201</v>
      </c>
      <c r="R29" s="9" t="s">
        <v>378</v>
      </c>
      <c r="S29" s="9" t="s">
        <v>379</v>
      </c>
      <c r="T29" s="9" t="s">
        <v>67</v>
      </c>
      <c r="U29" s="9" t="s">
        <v>8</v>
      </c>
      <c r="V29" s="10" t="n">
        <v>46291</v>
      </c>
      <c r="W29" s="8" t="s">
        <v>68</v>
      </c>
      <c r="X29" s="10"/>
      <c r="Y29" s="9" t="s">
        <v>69</v>
      </c>
    </row>
    <row r="30" customFormat="false" ht="45.75" hidden="false" customHeight="true" outlineLevel="0" collapsed="false">
      <c r="A30" s="8" t="n">
        <v>29</v>
      </c>
      <c r="B30" s="8" t="s">
        <v>24</v>
      </c>
      <c r="C30" s="8" t="s">
        <v>380</v>
      </c>
      <c r="D30" s="8" t="s">
        <v>381</v>
      </c>
      <c r="E30" s="9" t="s">
        <v>191</v>
      </c>
      <c r="F30" s="9" t="s">
        <v>382</v>
      </c>
      <c r="G30" s="9" t="s">
        <v>359</v>
      </c>
      <c r="H30" s="9" t="s">
        <v>383</v>
      </c>
      <c r="I30" s="9" t="s">
        <v>384</v>
      </c>
      <c r="J30" s="9" t="s">
        <v>385</v>
      </c>
      <c r="K30" s="9" t="s">
        <v>386</v>
      </c>
      <c r="L30" s="9"/>
      <c r="M30" s="9"/>
      <c r="N30" s="9" t="s">
        <v>387</v>
      </c>
      <c r="O30" s="9" t="s">
        <v>388</v>
      </c>
      <c r="P30" s="8" t="s">
        <v>129</v>
      </c>
      <c r="Q30" s="9" t="s">
        <v>201</v>
      </c>
      <c r="R30" s="9" t="s">
        <v>367</v>
      </c>
      <c r="S30" s="9" t="s">
        <v>389</v>
      </c>
      <c r="T30" s="9" t="s">
        <v>80</v>
      </c>
      <c r="U30" s="9" t="s">
        <v>81</v>
      </c>
      <c r="V30" s="10" t="n">
        <v>46291</v>
      </c>
      <c r="W30" s="8" t="s">
        <v>95</v>
      </c>
      <c r="X30" s="10"/>
      <c r="Y30" s="9" t="s">
        <v>390</v>
      </c>
    </row>
    <row r="31" customFormat="false" ht="57" hidden="false" customHeight="true" outlineLevel="0" collapsed="false">
      <c r="A31" s="8" t="n">
        <v>30</v>
      </c>
      <c r="B31" s="8" t="s">
        <v>24</v>
      </c>
      <c r="C31" s="8" t="s">
        <v>283</v>
      </c>
      <c r="D31" s="8" t="s">
        <v>283</v>
      </c>
      <c r="E31" s="9" t="s">
        <v>15</v>
      </c>
      <c r="F31" s="9" t="s">
        <v>391</v>
      </c>
      <c r="G31" s="9" t="s">
        <v>392</v>
      </c>
      <c r="H31" s="9" t="s">
        <v>393</v>
      </c>
      <c r="I31" s="9" t="s">
        <v>394</v>
      </c>
      <c r="J31" s="9" t="s">
        <v>395</v>
      </c>
      <c r="K31" s="9" t="s">
        <v>396</v>
      </c>
      <c r="L31" s="9"/>
      <c r="M31" s="9" t="s">
        <v>397</v>
      </c>
      <c r="N31" s="9" t="s">
        <v>398</v>
      </c>
      <c r="O31" s="9" t="s">
        <v>399</v>
      </c>
      <c r="P31" s="8" t="s">
        <v>63</v>
      </c>
      <c r="Q31" s="9" t="s">
        <v>188</v>
      </c>
      <c r="R31" s="9" t="s">
        <v>400</v>
      </c>
      <c r="S31" s="9" t="s">
        <v>401</v>
      </c>
      <c r="T31" s="9" t="s">
        <v>67</v>
      </c>
      <c r="U31" s="9" t="s">
        <v>8</v>
      </c>
      <c r="V31" s="10" t="n">
        <v>46291</v>
      </c>
      <c r="W31" s="8" t="s">
        <v>95</v>
      </c>
      <c r="X31" s="10"/>
      <c r="Y31" s="9" t="s">
        <v>402</v>
      </c>
    </row>
    <row r="32" customFormat="false" ht="34.5" hidden="false" customHeight="true" outlineLevel="0" collapsed="false">
      <c r="A32" s="8" t="n">
        <v>31</v>
      </c>
      <c r="B32" s="8" t="s">
        <v>24</v>
      </c>
      <c r="C32" s="8" t="s">
        <v>283</v>
      </c>
      <c r="D32" s="8" t="s">
        <v>283</v>
      </c>
      <c r="E32" s="9" t="s">
        <v>53</v>
      </c>
      <c r="F32" s="9" t="s">
        <v>391</v>
      </c>
      <c r="G32" s="9" t="s">
        <v>403</v>
      </c>
      <c r="H32" s="9" t="s">
        <v>404</v>
      </c>
      <c r="I32" s="9" t="s">
        <v>405</v>
      </c>
      <c r="J32" s="9" t="s">
        <v>344</v>
      </c>
      <c r="K32" s="9" t="s">
        <v>406</v>
      </c>
      <c r="L32" s="9"/>
      <c r="M32" s="9" t="s">
        <v>407</v>
      </c>
      <c r="N32" s="9" t="s">
        <v>408</v>
      </c>
      <c r="O32" s="9" t="s">
        <v>408</v>
      </c>
      <c r="P32" s="8" t="s">
        <v>63</v>
      </c>
      <c r="Q32" s="9" t="s">
        <v>64</v>
      </c>
      <c r="R32" s="9" t="s">
        <v>409</v>
      </c>
      <c r="S32" s="9" t="s">
        <v>410</v>
      </c>
      <c r="T32" s="9" t="s">
        <v>67</v>
      </c>
      <c r="U32" s="9" t="s">
        <v>8</v>
      </c>
      <c r="V32" s="10" t="n">
        <v>46291</v>
      </c>
      <c r="W32" s="8" t="s">
        <v>14</v>
      </c>
      <c r="X32" s="10" t="n">
        <v>46291</v>
      </c>
      <c r="Y32" s="9" t="s">
        <v>411</v>
      </c>
    </row>
    <row r="33" customFormat="false" ht="45.75" hidden="false" customHeight="true" outlineLevel="0" collapsed="false">
      <c r="A33" s="8" t="n">
        <v>32</v>
      </c>
      <c r="B33" s="8" t="s">
        <v>24</v>
      </c>
      <c r="C33" s="8" t="s">
        <v>327</v>
      </c>
      <c r="D33" s="8" t="s">
        <v>370</v>
      </c>
      <c r="E33" s="9" t="s">
        <v>15</v>
      </c>
      <c r="F33" s="9" t="s">
        <v>412</v>
      </c>
      <c r="G33" s="9" t="s">
        <v>413</v>
      </c>
      <c r="H33" s="9" t="s">
        <v>414</v>
      </c>
      <c r="I33" s="9" t="s">
        <v>415</v>
      </c>
      <c r="J33" s="9" t="s">
        <v>416</v>
      </c>
      <c r="K33" s="9"/>
      <c r="L33" s="9"/>
      <c r="M33" s="9"/>
      <c r="N33" s="9" t="s">
        <v>417</v>
      </c>
      <c r="O33" s="9" t="s">
        <v>417</v>
      </c>
      <c r="P33" s="8" t="s">
        <v>129</v>
      </c>
      <c r="Q33" s="9" t="s">
        <v>188</v>
      </c>
      <c r="R33" s="9" t="s">
        <v>418</v>
      </c>
      <c r="S33" s="9" t="s">
        <v>419</v>
      </c>
      <c r="T33" s="9" t="s">
        <v>132</v>
      </c>
      <c r="U33" s="9" t="s">
        <v>133</v>
      </c>
      <c r="V33" s="10" t="n">
        <v>46291</v>
      </c>
      <c r="W33" s="8" t="s">
        <v>95</v>
      </c>
      <c r="X33" s="10"/>
      <c r="Y33" s="9" t="s">
        <v>134</v>
      </c>
    </row>
    <row r="34" customFormat="false" ht="45.75" hidden="false" customHeight="true" outlineLevel="0" collapsed="false">
      <c r="A34" s="8" t="n">
        <v>33</v>
      </c>
      <c r="B34" s="8" t="s">
        <v>24</v>
      </c>
      <c r="C34" s="8" t="s">
        <v>283</v>
      </c>
      <c r="D34" s="8" t="s">
        <v>283</v>
      </c>
      <c r="E34" s="9" t="s">
        <v>15</v>
      </c>
      <c r="F34" s="9" t="s">
        <v>420</v>
      </c>
      <c r="G34" s="9" t="s">
        <v>421</v>
      </c>
      <c r="H34" s="9" t="s">
        <v>422</v>
      </c>
      <c r="I34" s="9" t="s">
        <v>423</v>
      </c>
      <c r="J34" s="9" t="s">
        <v>424</v>
      </c>
      <c r="K34" s="9" t="s">
        <v>425</v>
      </c>
      <c r="L34" s="9"/>
      <c r="M34" s="9"/>
      <c r="N34" s="9" t="s">
        <v>426</v>
      </c>
      <c r="O34" s="9" t="s">
        <v>426</v>
      </c>
      <c r="P34" s="8" t="s">
        <v>280</v>
      </c>
      <c r="Q34" s="9" t="s">
        <v>188</v>
      </c>
      <c r="R34" s="9" t="s">
        <v>427</v>
      </c>
      <c r="S34" s="9" t="s">
        <v>428</v>
      </c>
      <c r="T34" s="9" t="s">
        <v>67</v>
      </c>
      <c r="U34" s="9" t="s">
        <v>8</v>
      </c>
      <c r="V34" s="10" t="n">
        <v>46291</v>
      </c>
      <c r="W34" s="8" t="s">
        <v>14</v>
      </c>
      <c r="X34" s="10" t="n">
        <v>46291</v>
      </c>
      <c r="Y34" s="9" t="s">
        <v>429</v>
      </c>
    </row>
    <row r="35" customFormat="false" ht="45.75" hidden="false" customHeight="true" outlineLevel="0" collapsed="false">
      <c r="A35" s="8" t="n">
        <v>34</v>
      </c>
      <c r="B35" s="8" t="s">
        <v>24</v>
      </c>
      <c r="C35" s="8" t="s">
        <v>283</v>
      </c>
      <c r="D35" s="8" t="s">
        <v>283</v>
      </c>
      <c r="E35" s="9" t="s">
        <v>53</v>
      </c>
      <c r="F35" s="9" t="s">
        <v>430</v>
      </c>
      <c r="G35" s="9" t="s">
        <v>431</v>
      </c>
      <c r="H35" s="9" t="s">
        <v>432</v>
      </c>
      <c r="I35" s="9" t="s">
        <v>433</v>
      </c>
      <c r="J35" s="9" t="s">
        <v>434</v>
      </c>
      <c r="K35" s="9"/>
      <c r="L35" s="9"/>
      <c r="M35" s="9"/>
      <c r="N35" s="9" t="s">
        <v>435</v>
      </c>
      <c r="O35" s="9" t="s">
        <v>435</v>
      </c>
      <c r="P35" s="8" t="s">
        <v>129</v>
      </c>
      <c r="Q35" s="9" t="s">
        <v>64</v>
      </c>
      <c r="R35" s="9" t="s">
        <v>436</v>
      </c>
      <c r="S35" s="9" t="s">
        <v>437</v>
      </c>
      <c r="T35" s="9" t="s">
        <v>132</v>
      </c>
      <c r="U35" s="9" t="s">
        <v>133</v>
      </c>
      <c r="V35" s="10" t="n">
        <v>46291</v>
      </c>
      <c r="W35" s="8" t="s">
        <v>95</v>
      </c>
      <c r="X35" s="10"/>
      <c r="Y35" s="9" t="s">
        <v>134</v>
      </c>
    </row>
    <row r="36" customFormat="false" ht="45.75" hidden="false" customHeight="true" outlineLevel="0" collapsed="false">
      <c r="A36" s="8" t="n">
        <v>35</v>
      </c>
      <c r="B36" s="8" t="s">
        <v>24</v>
      </c>
      <c r="C36" s="8" t="s">
        <v>283</v>
      </c>
      <c r="D36" s="8" t="s">
        <v>283</v>
      </c>
      <c r="E36" s="9" t="s">
        <v>53</v>
      </c>
      <c r="F36" s="9" t="s">
        <v>438</v>
      </c>
      <c r="G36" s="9" t="s">
        <v>439</v>
      </c>
      <c r="H36" s="9" t="s">
        <v>440</v>
      </c>
      <c r="I36" s="9" t="s">
        <v>441</v>
      </c>
      <c r="J36" s="9" t="s">
        <v>442</v>
      </c>
      <c r="K36" s="9"/>
      <c r="L36" s="9"/>
      <c r="M36" s="9"/>
      <c r="N36" s="9" t="s">
        <v>443</v>
      </c>
      <c r="O36" s="9" t="s">
        <v>444</v>
      </c>
      <c r="P36" s="8" t="s">
        <v>129</v>
      </c>
      <c r="Q36" s="9" t="s">
        <v>64</v>
      </c>
      <c r="R36" s="9" t="s">
        <v>445</v>
      </c>
      <c r="S36" s="9" t="s">
        <v>446</v>
      </c>
      <c r="T36" s="9" t="s">
        <v>132</v>
      </c>
      <c r="U36" s="9" t="s">
        <v>133</v>
      </c>
      <c r="V36" s="10" t="n">
        <v>46291</v>
      </c>
      <c r="W36" s="8" t="s">
        <v>95</v>
      </c>
      <c r="X36" s="10"/>
      <c r="Y36" s="9" t="s">
        <v>134</v>
      </c>
    </row>
    <row r="37" customFormat="false" ht="57" hidden="false" customHeight="true" outlineLevel="0" collapsed="false">
      <c r="A37" s="8" t="n">
        <v>36</v>
      </c>
      <c r="B37" s="8" t="s">
        <v>25</v>
      </c>
      <c r="C37" s="8" t="s">
        <v>447</v>
      </c>
      <c r="D37" s="8" t="s">
        <v>447</v>
      </c>
      <c r="E37" s="9" t="s">
        <v>18</v>
      </c>
      <c r="F37" s="9" t="s">
        <v>448</v>
      </c>
      <c r="G37" s="9" t="s">
        <v>449</v>
      </c>
      <c r="H37" s="9" t="s">
        <v>450</v>
      </c>
      <c r="I37" s="9" t="s">
        <v>451</v>
      </c>
      <c r="J37" s="9" t="s">
        <v>452</v>
      </c>
      <c r="K37" s="9" t="s">
        <v>453</v>
      </c>
      <c r="L37" s="9" t="s">
        <v>454</v>
      </c>
      <c r="M37" s="9" t="s">
        <v>455</v>
      </c>
      <c r="N37" s="9" t="s">
        <v>456</v>
      </c>
      <c r="O37" s="9" t="s">
        <v>457</v>
      </c>
      <c r="P37" s="8" t="s">
        <v>63</v>
      </c>
      <c r="Q37" s="9" t="s">
        <v>106</v>
      </c>
      <c r="R37" s="9" t="s">
        <v>458</v>
      </c>
      <c r="S37" s="9" t="s">
        <v>459</v>
      </c>
      <c r="T37" s="9" t="s">
        <v>80</v>
      </c>
      <c r="U37" s="9" t="s">
        <v>81</v>
      </c>
      <c r="V37" s="10" t="n">
        <v>46291</v>
      </c>
      <c r="W37" s="8" t="s">
        <v>14</v>
      </c>
      <c r="X37" s="10" t="n">
        <v>46291</v>
      </c>
      <c r="Y37" s="9" t="s">
        <v>460</v>
      </c>
    </row>
    <row r="38" customFormat="false" ht="45.75" hidden="false" customHeight="true" outlineLevel="0" collapsed="false">
      <c r="A38" s="8" t="n">
        <v>37</v>
      </c>
      <c r="B38" s="8" t="s">
        <v>25</v>
      </c>
      <c r="C38" s="8" t="s">
        <v>447</v>
      </c>
      <c r="D38" s="8" t="s">
        <v>447</v>
      </c>
      <c r="E38" s="9" t="s">
        <v>18</v>
      </c>
      <c r="F38" s="9" t="s">
        <v>461</v>
      </c>
      <c r="G38" s="9" t="s">
        <v>462</v>
      </c>
      <c r="H38" s="9" t="s">
        <v>463</v>
      </c>
      <c r="I38" s="9" t="s">
        <v>464</v>
      </c>
      <c r="J38" s="9" t="s">
        <v>465</v>
      </c>
      <c r="K38" s="9" t="s">
        <v>466</v>
      </c>
      <c r="L38" s="9"/>
      <c r="M38" s="9" t="s">
        <v>467</v>
      </c>
      <c r="N38" s="9" t="s">
        <v>468</v>
      </c>
      <c r="O38" s="9" t="s">
        <v>469</v>
      </c>
      <c r="P38" s="8" t="s">
        <v>63</v>
      </c>
      <c r="Q38" s="9" t="s">
        <v>106</v>
      </c>
      <c r="R38" s="9" t="s">
        <v>470</v>
      </c>
      <c r="S38" s="9" t="s">
        <v>471</v>
      </c>
      <c r="T38" s="9" t="s">
        <v>67</v>
      </c>
      <c r="U38" s="9" t="s">
        <v>8</v>
      </c>
      <c r="V38" s="10" t="n">
        <v>46291</v>
      </c>
      <c r="W38" s="8" t="s">
        <v>14</v>
      </c>
      <c r="X38" s="10" t="n">
        <v>46291</v>
      </c>
      <c r="Y38" s="9" t="s">
        <v>472</v>
      </c>
    </row>
    <row r="39" customFormat="false" ht="45.75" hidden="false" customHeight="true" outlineLevel="0" collapsed="false">
      <c r="A39" s="8" t="n">
        <v>38</v>
      </c>
      <c r="B39" s="8" t="s">
        <v>25</v>
      </c>
      <c r="C39" s="8" t="s">
        <v>447</v>
      </c>
      <c r="D39" s="8" t="s">
        <v>447</v>
      </c>
      <c r="E39" s="9" t="s">
        <v>53</v>
      </c>
      <c r="F39" s="9" t="s">
        <v>473</v>
      </c>
      <c r="G39" s="9" t="s">
        <v>474</v>
      </c>
      <c r="H39" s="9" t="s">
        <v>475</v>
      </c>
      <c r="I39" s="9" t="s">
        <v>476</v>
      </c>
      <c r="J39" s="9" t="s">
        <v>477</v>
      </c>
      <c r="K39" s="9" t="s">
        <v>478</v>
      </c>
      <c r="L39" s="9"/>
      <c r="M39" s="9" t="s">
        <v>479</v>
      </c>
      <c r="N39" s="9" t="s">
        <v>480</v>
      </c>
      <c r="O39" s="9" t="s">
        <v>481</v>
      </c>
      <c r="P39" s="8" t="s">
        <v>63</v>
      </c>
      <c r="Q39" s="9" t="s">
        <v>64</v>
      </c>
      <c r="R39" s="9" t="s">
        <v>482</v>
      </c>
      <c r="S39" s="9" t="s">
        <v>483</v>
      </c>
      <c r="T39" s="9" t="s">
        <v>67</v>
      </c>
      <c r="U39" s="9" t="s">
        <v>8</v>
      </c>
      <c r="V39" s="10" t="n">
        <v>46291</v>
      </c>
      <c r="W39" s="8" t="s">
        <v>14</v>
      </c>
      <c r="X39" s="10" t="n">
        <v>46291</v>
      </c>
      <c r="Y39" s="9" t="s">
        <v>484</v>
      </c>
    </row>
    <row r="40" customFormat="false" ht="45.75" hidden="false" customHeight="true" outlineLevel="0" collapsed="false">
      <c r="A40" s="8" t="n">
        <v>39</v>
      </c>
      <c r="B40" s="8" t="s">
        <v>25</v>
      </c>
      <c r="C40" s="8" t="s">
        <v>447</v>
      </c>
      <c r="D40" s="8" t="s">
        <v>447</v>
      </c>
      <c r="E40" s="9" t="s">
        <v>18</v>
      </c>
      <c r="F40" s="9" t="s">
        <v>485</v>
      </c>
      <c r="G40" s="9" t="s">
        <v>486</v>
      </c>
      <c r="H40" s="9" t="s">
        <v>487</v>
      </c>
      <c r="I40" s="9" t="s">
        <v>488</v>
      </c>
      <c r="J40" s="9" t="s">
        <v>442</v>
      </c>
      <c r="K40" s="9" t="s">
        <v>489</v>
      </c>
      <c r="L40" s="9"/>
      <c r="M40" s="9"/>
      <c r="N40" s="9" t="s">
        <v>490</v>
      </c>
      <c r="O40" s="9" t="s">
        <v>491</v>
      </c>
      <c r="P40" s="8" t="s">
        <v>63</v>
      </c>
      <c r="Q40" s="9" t="s">
        <v>106</v>
      </c>
      <c r="R40" s="9" t="s">
        <v>492</v>
      </c>
      <c r="S40" s="9" t="s">
        <v>493</v>
      </c>
      <c r="T40" s="9" t="s">
        <v>67</v>
      </c>
      <c r="U40" s="9" t="s">
        <v>8</v>
      </c>
      <c r="V40" s="10" t="n">
        <v>46291</v>
      </c>
      <c r="W40" s="8" t="s">
        <v>14</v>
      </c>
      <c r="X40" s="10" t="n">
        <v>46291</v>
      </c>
      <c r="Y40" s="9" t="s">
        <v>494</v>
      </c>
    </row>
    <row r="41" customFormat="false" ht="57" hidden="false" customHeight="true" outlineLevel="0" collapsed="false">
      <c r="A41" s="8" t="n">
        <v>40</v>
      </c>
      <c r="B41" s="8" t="s">
        <v>25</v>
      </c>
      <c r="C41" s="8" t="s">
        <v>447</v>
      </c>
      <c r="D41" s="8" t="s">
        <v>447</v>
      </c>
      <c r="E41" s="9" t="s">
        <v>191</v>
      </c>
      <c r="F41" s="9" t="s">
        <v>495</v>
      </c>
      <c r="G41" s="9" t="s">
        <v>496</v>
      </c>
      <c r="H41" s="9" t="s">
        <v>497</v>
      </c>
      <c r="I41" s="9" t="s">
        <v>498</v>
      </c>
      <c r="J41" s="9" t="s">
        <v>499</v>
      </c>
      <c r="K41" s="9" t="s">
        <v>500</v>
      </c>
      <c r="L41" s="9" t="s">
        <v>501</v>
      </c>
      <c r="M41" s="9" t="s">
        <v>502</v>
      </c>
      <c r="N41" s="9" t="s">
        <v>503</v>
      </c>
      <c r="O41" s="9" t="s">
        <v>504</v>
      </c>
      <c r="P41" s="8" t="s">
        <v>63</v>
      </c>
      <c r="Q41" s="9" t="s">
        <v>201</v>
      </c>
      <c r="R41" s="9" t="s">
        <v>505</v>
      </c>
      <c r="S41" s="9" t="s">
        <v>506</v>
      </c>
      <c r="T41" s="9" t="s">
        <v>80</v>
      </c>
      <c r="U41" s="9" t="s">
        <v>81</v>
      </c>
      <c r="V41" s="10" t="n">
        <v>46291</v>
      </c>
      <c r="W41" s="8" t="s">
        <v>14</v>
      </c>
      <c r="X41" s="10" t="n">
        <v>46291</v>
      </c>
      <c r="Y41" s="9" t="s">
        <v>507</v>
      </c>
    </row>
    <row r="42" customFormat="false" ht="34.5" hidden="false" customHeight="true" outlineLevel="0" collapsed="false">
      <c r="A42" s="8" t="n">
        <v>41</v>
      </c>
      <c r="B42" s="8" t="s">
        <v>25</v>
      </c>
      <c r="C42" s="8" t="s">
        <v>447</v>
      </c>
      <c r="D42" s="8" t="s">
        <v>447</v>
      </c>
      <c r="E42" s="9" t="s">
        <v>53</v>
      </c>
      <c r="F42" s="9" t="s">
        <v>508</v>
      </c>
      <c r="G42" s="9" t="s">
        <v>509</v>
      </c>
      <c r="H42" s="9" t="s">
        <v>510</v>
      </c>
      <c r="I42" s="9" t="s">
        <v>511</v>
      </c>
      <c r="J42" s="9" t="s">
        <v>512</v>
      </c>
      <c r="K42" s="9" t="s">
        <v>513</v>
      </c>
      <c r="L42" s="9"/>
      <c r="M42" s="9"/>
      <c r="N42" s="9" t="s">
        <v>514</v>
      </c>
      <c r="O42" s="9" t="s">
        <v>514</v>
      </c>
      <c r="P42" s="8" t="s">
        <v>63</v>
      </c>
      <c r="Q42" s="9" t="s">
        <v>64</v>
      </c>
      <c r="R42" s="9" t="s">
        <v>515</v>
      </c>
      <c r="S42" s="9" t="s">
        <v>516</v>
      </c>
      <c r="T42" s="9" t="s">
        <v>67</v>
      </c>
      <c r="U42" s="9" t="s">
        <v>8</v>
      </c>
      <c r="V42" s="10" t="n">
        <v>46291</v>
      </c>
      <c r="W42" s="8" t="s">
        <v>14</v>
      </c>
      <c r="X42" s="10" t="n">
        <v>46291</v>
      </c>
      <c r="Y42" s="9" t="s">
        <v>517</v>
      </c>
    </row>
    <row r="43" customFormat="false" ht="45.75" hidden="false" customHeight="true" outlineLevel="0" collapsed="false">
      <c r="A43" s="8" t="n">
        <v>42</v>
      </c>
      <c r="B43" s="8" t="s">
        <v>25</v>
      </c>
      <c r="C43" s="8" t="s">
        <v>518</v>
      </c>
      <c r="D43" s="8" t="s">
        <v>519</v>
      </c>
      <c r="E43" s="9" t="s">
        <v>191</v>
      </c>
      <c r="F43" s="9" t="s">
        <v>520</v>
      </c>
      <c r="G43" s="9" t="s">
        <v>521</v>
      </c>
      <c r="H43" s="9" t="s">
        <v>522</v>
      </c>
      <c r="I43" s="9" t="s">
        <v>523</v>
      </c>
      <c r="J43" s="9" t="s">
        <v>521</v>
      </c>
      <c r="K43" s="9" t="s">
        <v>524</v>
      </c>
      <c r="L43" s="9" t="s">
        <v>525</v>
      </c>
      <c r="M43" s="9"/>
      <c r="N43" s="9" t="s">
        <v>526</v>
      </c>
      <c r="O43" s="9" t="s">
        <v>526</v>
      </c>
      <c r="P43" s="8" t="s">
        <v>63</v>
      </c>
      <c r="Q43" s="9" t="s">
        <v>201</v>
      </c>
      <c r="R43" s="9" t="s">
        <v>527</v>
      </c>
      <c r="S43" s="9" t="s">
        <v>528</v>
      </c>
      <c r="T43" s="9" t="s">
        <v>80</v>
      </c>
      <c r="U43" s="9" t="s">
        <v>81</v>
      </c>
      <c r="V43" s="10" t="n">
        <v>46291</v>
      </c>
      <c r="W43" s="8" t="s">
        <v>14</v>
      </c>
      <c r="X43" s="10" t="n">
        <v>46291</v>
      </c>
      <c r="Y43" s="9" t="s">
        <v>529</v>
      </c>
    </row>
    <row r="44" customFormat="false" ht="45.75" hidden="false" customHeight="true" outlineLevel="0" collapsed="false">
      <c r="A44" s="8" t="n">
        <v>43</v>
      </c>
      <c r="B44" s="8" t="s">
        <v>25</v>
      </c>
      <c r="C44" s="8" t="s">
        <v>447</v>
      </c>
      <c r="D44" s="8" t="s">
        <v>447</v>
      </c>
      <c r="E44" s="9" t="s">
        <v>191</v>
      </c>
      <c r="F44" s="9" t="s">
        <v>530</v>
      </c>
      <c r="G44" s="9" t="s">
        <v>531</v>
      </c>
      <c r="H44" s="9" t="s">
        <v>532</v>
      </c>
      <c r="I44" s="9" t="s">
        <v>533</v>
      </c>
      <c r="J44" s="9" t="s">
        <v>534</v>
      </c>
      <c r="K44" s="9" t="s">
        <v>535</v>
      </c>
      <c r="L44" s="9"/>
      <c r="M44" s="9"/>
      <c r="N44" s="9" t="s">
        <v>536</v>
      </c>
      <c r="O44" s="9" t="s">
        <v>536</v>
      </c>
      <c r="P44" s="8" t="s">
        <v>129</v>
      </c>
      <c r="Q44" s="9" t="s">
        <v>201</v>
      </c>
      <c r="R44" s="9" t="s">
        <v>537</v>
      </c>
      <c r="S44" s="9" t="s">
        <v>538</v>
      </c>
      <c r="T44" s="9" t="s">
        <v>80</v>
      </c>
      <c r="U44" s="9" t="s">
        <v>81</v>
      </c>
      <c r="V44" s="10" t="n">
        <v>46291</v>
      </c>
      <c r="W44" s="8" t="s">
        <v>95</v>
      </c>
      <c r="X44" s="10"/>
      <c r="Y44" s="9" t="s">
        <v>539</v>
      </c>
    </row>
    <row r="45" customFormat="false" ht="57" hidden="false" customHeight="true" outlineLevel="0" collapsed="false">
      <c r="A45" s="8" t="n">
        <v>44</v>
      </c>
      <c r="B45" s="8" t="s">
        <v>25</v>
      </c>
      <c r="C45" s="8" t="s">
        <v>447</v>
      </c>
      <c r="D45" s="8" t="s">
        <v>447</v>
      </c>
      <c r="E45" s="9" t="s">
        <v>15</v>
      </c>
      <c r="F45" s="9" t="s">
        <v>540</v>
      </c>
      <c r="G45" s="9" t="s">
        <v>541</v>
      </c>
      <c r="H45" s="9" t="s">
        <v>542</v>
      </c>
      <c r="I45" s="9" t="s">
        <v>543</v>
      </c>
      <c r="J45" s="9" t="s">
        <v>544</v>
      </c>
      <c r="K45" s="9" t="s">
        <v>545</v>
      </c>
      <c r="L45" s="9"/>
      <c r="M45" s="9" t="s">
        <v>546</v>
      </c>
      <c r="N45" s="9" t="s">
        <v>547</v>
      </c>
      <c r="O45" s="9" t="s">
        <v>548</v>
      </c>
      <c r="P45" s="8" t="s">
        <v>129</v>
      </c>
      <c r="Q45" s="9" t="s">
        <v>188</v>
      </c>
      <c r="R45" s="9" t="s">
        <v>549</v>
      </c>
      <c r="S45" s="9" t="s">
        <v>550</v>
      </c>
      <c r="T45" s="9" t="s">
        <v>67</v>
      </c>
      <c r="U45" s="9" t="s">
        <v>8</v>
      </c>
      <c r="V45" s="10" t="n">
        <v>46291</v>
      </c>
      <c r="W45" s="8" t="s">
        <v>95</v>
      </c>
      <c r="X45" s="10"/>
      <c r="Y45" s="9" t="s">
        <v>551</v>
      </c>
    </row>
    <row r="46" customFormat="false" ht="45.75" hidden="false" customHeight="true" outlineLevel="0" collapsed="false">
      <c r="A46" s="8" t="n">
        <v>45</v>
      </c>
      <c r="B46" s="8" t="s">
        <v>25</v>
      </c>
      <c r="C46" s="8" t="s">
        <v>447</v>
      </c>
      <c r="D46" s="8" t="s">
        <v>447</v>
      </c>
      <c r="E46" s="9" t="s">
        <v>15</v>
      </c>
      <c r="F46" s="9" t="s">
        <v>552</v>
      </c>
      <c r="G46" s="9" t="s">
        <v>553</v>
      </c>
      <c r="H46" s="9" t="s">
        <v>554</v>
      </c>
      <c r="I46" s="9" t="s">
        <v>555</v>
      </c>
      <c r="J46" s="9" t="s">
        <v>556</v>
      </c>
      <c r="K46" s="9" t="s">
        <v>557</v>
      </c>
      <c r="L46" s="9" t="s">
        <v>558</v>
      </c>
      <c r="M46" s="9"/>
      <c r="N46" s="9" t="s">
        <v>559</v>
      </c>
      <c r="O46" s="9" t="s">
        <v>560</v>
      </c>
      <c r="P46" s="8" t="s">
        <v>129</v>
      </c>
      <c r="Q46" s="9" t="s">
        <v>188</v>
      </c>
      <c r="R46" s="9" t="s">
        <v>561</v>
      </c>
      <c r="S46" s="9" t="s">
        <v>562</v>
      </c>
      <c r="T46" s="9" t="s">
        <v>67</v>
      </c>
      <c r="U46" s="9" t="s">
        <v>8</v>
      </c>
      <c r="V46" s="10" t="n">
        <v>46291</v>
      </c>
      <c r="W46" s="8" t="s">
        <v>95</v>
      </c>
      <c r="X46" s="10"/>
      <c r="Y46" s="9" t="s">
        <v>563</v>
      </c>
    </row>
    <row r="47" customFormat="false" ht="57" hidden="false" customHeight="true" outlineLevel="0" collapsed="false">
      <c r="A47" s="8" t="n">
        <v>46</v>
      </c>
      <c r="B47" s="8" t="s">
        <v>25</v>
      </c>
      <c r="C47" s="8" t="s">
        <v>564</v>
      </c>
      <c r="D47" s="8" t="s">
        <v>565</v>
      </c>
      <c r="E47" s="9" t="s">
        <v>191</v>
      </c>
      <c r="F47" s="9" t="s">
        <v>566</v>
      </c>
      <c r="G47" s="9" t="s">
        <v>567</v>
      </c>
      <c r="H47" s="9" t="s">
        <v>568</v>
      </c>
      <c r="I47" s="9" t="s">
        <v>569</v>
      </c>
      <c r="J47" s="9" t="s">
        <v>570</v>
      </c>
      <c r="K47" s="9" t="s">
        <v>571</v>
      </c>
      <c r="L47" s="9"/>
      <c r="M47" s="9"/>
      <c r="N47" s="9" t="s">
        <v>572</v>
      </c>
      <c r="O47" s="9" t="s">
        <v>572</v>
      </c>
      <c r="P47" s="8" t="s">
        <v>280</v>
      </c>
      <c r="Q47" s="9" t="s">
        <v>201</v>
      </c>
      <c r="R47" s="9" t="s">
        <v>573</v>
      </c>
      <c r="S47" s="9" t="s">
        <v>574</v>
      </c>
      <c r="T47" s="9" t="s">
        <v>67</v>
      </c>
      <c r="U47" s="9" t="s">
        <v>8</v>
      </c>
      <c r="V47" s="10" t="n">
        <v>46291</v>
      </c>
      <c r="W47" s="8" t="s">
        <v>95</v>
      </c>
      <c r="X47" s="10"/>
      <c r="Y47" s="9" t="s">
        <v>575</v>
      </c>
    </row>
    <row r="48" customFormat="false" ht="57" hidden="false" customHeight="true" outlineLevel="0" collapsed="false">
      <c r="A48" s="8" t="n">
        <v>47</v>
      </c>
      <c r="B48" s="8" t="s">
        <v>26</v>
      </c>
      <c r="C48" s="8" t="s">
        <v>576</v>
      </c>
      <c r="D48" s="8" t="s">
        <v>577</v>
      </c>
      <c r="E48" s="9" t="s">
        <v>18</v>
      </c>
      <c r="F48" s="9" t="s">
        <v>578</v>
      </c>
      <c r="G48" s="9" t="s">
        <v>579</v>
      </c>
      <c r="H48" s="9" t="s">
        <v>580</v>
      </c>
      <c r="I48" s="9" t="s">
        <v>581</v>
      </c>
      <c r="J48" s="9" t="s">
        <v>582</v>
      </c>
      <c r="K48" s="9" t="s">
        <v>583</v>
      </c>
      <c r="L48" s="9"/>
      <c r="M48" s="9" t="s">
        <v>584</v>
      </c>
      <c r="N48" s="9" t="s">
        <v>585</v>
      </c>
      <c r="O48" s="9" t="s">
        <v>586</v>
      </c>
      <c r="P48" s="8" t="s">
        <v>63</v>
      </c>
      <c r="Q48" s="9" t="s">
        <v>106</v>
      </c>
      <c r="R48" s="9" t="s">
        <v>587</v>
      </c>
      <c r="S48" s="9" t="s">
        <v>588</v>
      </c>
      <c r="T48" s="9" t="s">
        <v>67</v>
      </c>
      <c r="U48" s="9" t="s">
        <v>8</v>
      </c>
      <c r="V48" s="10" t="n">
        <v>46291</v>
      </c>
      <c r="W48" s="8" t="s">
        <v>14</v>
      </c>
      <c r="X48" s="10" t="n">
        <v>46291</v>
      </c>
      <c r="Y48" s="9" t="s">
        <v>589</v>
      </c>
    </row>
    <row r="49" customFormat="false" ht="57" hidden="false" customHeight="true" outlineLevel="0" collapsed="false">
      <c r="A49" s="8" t="n">
        <v>48</v>
      </c>
      <c r="B49" s="8" t="s">
        <v>26</v>
      </c>
      <c r="C49" s="8" t="s">
        <v>576</v>
      </c>
      <c r="D49" s="8" t="s">
        <v>577</v>
      </c>
      <c r="E49" s="9" t="s">
        <v>191</v>
      </c>
      <c r="F49" s="9" t="s">
        <v>590</v>
      </c>
      <c r="G49" s="9" t="s">
        <v>591</v>
      </c>
      <c r="H49" s="9" t="s">
        <v>592</v>
      </c>
      <c r="I49" s="9" t="s">
        <v>593</v>
      </c>
      <c r="J49" s="9" t="s">
        <v>594</v>
      </c>
      <c r="K49" s="9" t="s">
        <v>595</v>
      </c>
      <c r="L49" s="9"/>
      <c r="M49" s="9" t="s">
        <v>596</v>
      </c>
      <c r="N49" s="9" t="s">
        <v>597</v>
      </c>
      <c r="O49" s="9" t="s">
        <v>598</v>
      </c>
      <c r="P49" s="8" t="s">
        <v>63</v>
      </c>
      <c r="Q49" s="9" t="s">
        <v>201</v>
      </c>
      <c r="R49" s="9" t="s">
        <v>599</v>
      </c>
      <c r="S49" s="9" t="s">
        <v>600</v>
      </c>
      <c r="T49" s="9" t="s">
        <v>67</v>
      </c>
      <c r="U49" s="9" t="s">
        <v>8</v>
      </c>
      <c r="V49" s="10" t="n">
        <v>46291</v>
      </c>
      <c r="W49" s="8" t="s">
        <v>14</v>
      </c>
      <c r="X49" s="10" t="n">
        <v>46291</v>
      </c>
      <c r="Y49" s="9" t="s">
        <v>601</v>
      </c>
    </row>
    <row r="50" customFormat="false" ht="45.75" hidden="false" customHeight="true" outlineLevel="0" collapsed="false">
      <c r="A50" s="8" t="n">
        <v>49</v>
      </c>
      <c r="B50" s="8" t="s">
        <v>26</v>
      </c>
      <c r="C50" s="8" t="s">
        <v>602</v>
      </c>
      <c r="D50" s="8" t="s">
        <v>603</v>
      </c>
      <c r="E50" s="9" t="s">
        <v>15</v>
      </c>
      <c r="F50" s="9" t="s">
        <v>604</v>
      </c>
      <c r="G50" s="9" t="s">
        <v>605</v>
      </c>
      <c r="H50" s="9" t="s">
        <v>606</v>
      </c>
      <c r="I50" s="9" t="s">
        <v>607</v>
      </c>
      <c r="J50" s="9" t="s">
        <v>608</v>
      </c>
      <c r="K50" s="9"/>
      <c r="L50" s="9"/>
      <c r="M50" s="9"/>
      <c r="N50" s="9" t="s">
        <v>609</v>
      </c>
      <c r="O50" s="9" t="s">
        <v>610</v>
      </c>
      <c r="P50" s="8" t="s">
        <v>129</v>
      </c>
      <c r="Q50" s="9" t="s">
        <v>188</v>
      </c>
      <c r="R50" s="9" t="s">
        <v>611</v>
      </c>
      <c r="S50" s="9" t="s">
        <v>612</v>
      </c>
      <c r="T50" s="9" t="s">
        <v>132</v>
      </c>
      <c r="U50" s="9" t="s">
        <v>133</v>
      </c>
      <c r="V50" s="10" t="n">
        <v>46291</v>
      </c>
      <c r="W50" s="8" t="s">
        <v>95</v>
      </c>
      <c r="X50" s="10"/>
      <c r="Y50" s="9" t="s">
        <v>134</v>
      </c>
    </row>
    <row r="51" customFormat="false" ht="57" hidden="false" customHeight="true" outlineLevel="0" collapsed="false">
      <c r="A51" s="8" t="n">
        <v>50</v>
      </c>
      <c r="B51" s="8" t="s">
        <v>26</v>
      </c>
      <c r="C51" s="8" t="s">
        <v>613</v>
      </c>
      <c r="D51" s="8" t="s">
        <v>614</v>
      </c>
      <c r="E51" s="9" t="s">
        <v>15</v>
      </c>
      <c r="F51" s="9" t="s">
        <v>615</v>
      </c>
      <c r="G51" s="9" t="s">
        <v>616</v>
      </c>
      <c r="H51" s="9" t="s">
        <v>617</v>
      </c>
      <c r="I51" s="9" t="s">
        <v>618</v>
      </c>
      <c r="J51" s="9" t="s">
        <v>619</v>
      </c>
      <c r="K51" s="9" t="s">
        <v>620</v>
      </c>
      <c r="L51" s="9" t="s">
        <v>621</v>
      </c>
      <c r="M51" s="9" t="s">
        <v>622</v>
      </c>
      <c r="N51" s="9" t="s">
        <v>623</v>
      </c>
      <c r="O51" s="9" t="s">
        <v>624</v>
      </c>
      <c r="P51" s="8" t="s">
        <v>129</v>
      </c>
      <c r="Q51" s="9" t="s">
        <v>188</v>
      </c>
      <c r="R51" s="9" t="s">
        <v>625</v>
      </c>
      <c r="S51" s="9" t="s">
        <v>626</v>
      </c>
      <c r="T51" s="9" t="s">
        <v>67</v>
      </c>
      <c r="U51" s="9" t="s">
        <v>8</v>
      </c>
      <c r="V51" s="10" t="n">
        <v>46291</v>
      </c>
      <c r="W51" s="8" t="s">
        <v>95</v>
      </c>
      <c r="X51" s="10"/>
      <c r="Y51" s="9" t="s">
        <v>627</v>
      </c>
    </row>
    <row r="52" customFormat="false" ht="45.75" hidden="false" customHeight="true" outlineLevel="0" collapsed="false">
      <c r="A52" s="8" t="n">
        <v>51</v>
      </c>
      <c r="B52" s="8" t="s">
        <v>26</v>
      </c>
      <c r="C52" s="8" t="s">
        <v>576</v>
      </c>
      <c r="D52" s="8" t="s">
        <v>628</v>
      </c>
      <c r="E52" s="9" t="s">
        <v>15</v>
      </c>
      <c r="F52" s="9" t="s">
        <v>629</v>
      </c>
      <c r="G52" s="9" t="s">
        <v>630</v>
      </c>
      <c r="H52" s="9" t="s">
        <v>631</v>
      </c>
      <c r="I52" s="9" t="s">
        <v>632</v>
      </c>
      <c r="J52" s="9" t="s">
        <v>633</v>
      </c>
      <c r="K52" s="9" t="s">
        <v>634</v>
      </c>
      <c r="L52" s="9" t="s">
        <v>635</v>
      </c>
      <c r="M52" s="9"/>
      <c r="N52" s="9" t="s">
        <v>636</v>
      </c>
      <c r="O52" s="9" t="s">
        <v>636</v>
      </c>
      <c r="P52" s="8" t="s">
        <v>63</v>
      </c>
      <c r="Q52" s="9" t="s">
        <v>188</v>
      </c>
      <c r="R52" s="9" t="s">
        <v>637</v>
      </c>
      <c r="S52" s="9" t="s">
        <v>638</v>
      </c>
      <c r="T52" s="9" t="s">
        <v>80</v>
      </c>
      <c r="U52" s="9" t="s">
        <v>81</v>
      </c>
      <c r="V52" s="10" t="n">
        <v>46291</v>
      </c>
      <c r="W52" s="8" t="s">
        <v>14</v>
      </c>
      <c r="X52" s="10" t="n">
        <v>46291</v>
      </c>
      <c r="Y52" s="9" t="s">
        <v>639</v>
      </c>
    </row>
    <row r="53" customFormat="false" ht="45.75" hidden="false" customHeight="true" outlineLevel="0" collapsed="false">
      <c r="A53" s="8" t="n">
        <v>52</v>
      </c>
      <c r="B53" s="8" t="s">
        <v>26</v>
      </c>
      <c r="C53" s="8" t="s">
        <v>576</v>
      </c>
      <c r="D53" s="8" t="s">
        <v>577</v>
      </c>
      <c r="E53" s="9" t="s">
        <v>53</v>
      </c>
      <c r="F53" s="9" t="s">
        <v>640</v>
      </c>
      <c r="G53" s="9" t="s">
        <v>641</v>
      </c>
      <c r="H53" s="9" t="s">
        <v>642</v>
      </c>
      <c r="I53" s="9" t="s">
        <v>643</v>
      </c>
      <c r="J53" s="9" t="s">
        <v>644</v>
      </c>
      <c r="K53" s="9" t="s">
        <v>645</v>
      </c>
      <c r="L53" s="9"/>
      <c r="M53" s="9" t="s">
        <v>646</v>
      </c>
      <c r="N53" s="9" t="s">
        <v>647</v>
      </c>
      <c r="O53" s="9" t="s">
        <v>647</v>
      </c>
      <c r="P53" s="8" t="s">
        <v>63</v>
      </c>
      <c r="Q53" s="9" t="s">
        <v>64</v>
      </c>
      <c r="R53" s="9" t="s">
        <v>648</v>
      </c>
      <c r="S53" s="9" t="s">
        <v>649</v>
      </c>
      <c r="T53" s="9" t="s">
        <v>67</v>
      </c>
      <c r="U53" s="9" t="s">
        <v>8</v>
      </c>
      <c r="V53" s="10" t="n">
        <v>46291</v>
      </c>
      <c r="W53" s="8" t="s">
        <v>68</v>
      </c>
      <c r="X53" s="10"/>
      <c r="Y53" s="9" t="s">
        <v>69</v>
      </c>
    </row>
    <row r="54" customFormat="false" ht="45.75" hidden="false" customHeight="true" outlineLevel="0" collapsed="false">
      <c r="A54" s="8" t="n">
        <v>53</v>
      </c>
      <c r="B54" s="8" t="s">
        <v>26</v>
      </c>
      <c r="C54" s="8" t="s">
        <v>576</v>
      </c>
      <c r="D54" s="8" t="s">
        <v>577</v>
      </c>
      <c r="E54" s="9" t="s">
        <v>53</v>
      </c>
      <c r="F54" s="9" t="s">
        <v>650</v>
      </c>
      <c r="G54" s="9" t="s">
        <v>285</v>
      </c>
      <c r="H54" s="9" t="s">
        <v>651</v>
      </c>
      <c r="I54" s="9" t="s">
        <v>652</v>
      </c>
      <c r="J54" s="9" t="s">
        <v>126</v>
      </c>
      <c r="K54" s="9" t="s">
        <v>653</v>
      </c>
      <c r="L54" s="9"/>
      <c r="M54" s="9" t="s">
        <v>654</v>
      </c>
      <c r="N54" s="9" t="s">
        <v>655</v>
      </c>
      <c r="O54" s="9" t="s">
        <v>656</v>
      </c>
      <c r="P54" s="8" t="s">
        <v>63</v>
      </c>
      <c r="Q54" s="9" t="s">
        <v>64</v>
      </c>
      <c r="R54" s="9" t="s">
        <v>657</v>
      </c>
      <c r="S54" s="9" t="s">
        <v>658</v>
      </c>
      <c r="T54" s="9" t="s">
        <v>80</v>
      </c>
      <c r="U54" s="9" t="s">
        <v>81</v>
      </c>
      <c r="V54" s="10" t="n">
        <v>46291</v>
      </c>
      <c r="W54" s="8" t="s">
        <v>14</v>
      </c>
      <c r="X54" s="10" t="n">
        <v>46291</v>
      </c>
      <c r="Y54" s="9" t="s">
        <v>659</v>
      </c>
    </row>
    <row r="55" customFormat="false" ht="57" hidden="false" customHeight="true" outlineLevel="0" collapsed="false">
      <c r="A55" s="8" t="n">
        <v>54</v>
      </c>
      <c r="B55" s="8" t="s">
        <v>26</v>
      </c>
      <c r="C55" s="8" t="s">
        <v>576</v>
      </c>
      <c r="D55" s="8" t="s">
        <v>577</v>
      </c>
      <c r="E55" s="9" t="s">
        <v>18</v>
      </c>
      <c r="F55" s="9" t="s">
        <v>660</v>
      </c>
      <c r="G55" s="9" t="s">
        <v>661</v>
      </c>
      <c r="H55" s="9" t="s">
        <v>662</v>
      </c>
      <c r="I55" s="9" t="s">
        <v>663</v>
      </c>
      <c r="J55" s="9" t="s">
        <v>664</v>
      </c>
      <c r="K55" s="9" t="s">
        <v>665</v>
      </c>
      <c r="L55" s="9"/>
      <c r="M55" s="9"/>
      <c r="N55" s="9" t="s">
        <v>666</v>
      </c>
      <c r="O55" s="9" t="s">
        <v>667</v>
      </c>
      <c r="P55" s="8" t="s">
        <v>63</v>
      </c>
      <c r="Q55" s="9" t="s">
        <v>106</v>
      </c>
      <c r="R55" s="9" t="s">
        <v>668</v>
      </c>
      <c r="S55" s="9" t="s">
        <v>669</v>
      </c>
      <c r="T55" s="9" t="s">
        <v>67</v>
      </c>
      <c r="U55" s="9" t="s">
        <v>8</v>
      </c>
      <c r="V55" s="10" t="n">
        <v>46291</v>
      </c>
      <c r="W55" s="8" t="s">
        <v>14</v>
      </c>
      <c r="X55" s="10" t="n">
        <v>46291</v>
      </c>
      <c r="Y55" s="9" t="s">
        <v>670</v>
      </c>
    </row>
    <row r="56" customFormat="false" ht="45.75" hidden="false" customHeight="true" outlineLevel="0" collapsed="false">
      <c r="A56" s="8" t="n">
        <v>55</v>
      </c>
      <c r="B56" s="8" t="s">
        <v>27</v>
      </c>
      <c r="C56" s="8" t="s">
        <v>671</v>
      </c>
      <c r="D56" s="8" t="s">
        <v>672</v>
      </c>
      <c r="E56" s="9" t="s">
        <v>18</v>
      </c>
      <c r="F56" s="9" t="s">
        <v>673</v>
      </c>
      <c r="G56" s="9" t="s">
        <v>674</v>
      </c>
      <c r="H56" s="9" t="s">
        <v>675</v>
      </c>
      <c r="I56" s="9" t="s">
        <v>676</v>
      </c>
      <c r="J56" s="9" t="s">
        <v>664</v>
      </c>
      <c r="K56" s="9" t="s">
        <v>677</v>
      </c>
      <c r="L56" s="9" t="s">
        <v>678</v>
      </c>
      <c r="M56" s="9" t="s">
        <v>679</v>
      </c>
      <c r="N56" s="9" t="s">
        <v>680</v>
      </c>
      <c r="O56" s="9" t="s">
        <v>680</v>
      </c>
      <c r="P56" s="8" t="s">
        <v>63</v>
      </c>
      <c r="Q56" s="9" t="s">
        <v>106</v>
      </c>
      <c r="R56" s="9" t="s">
        <v>681</v>
      </c>
      <c r="S56" s="9" t="s">
        <v>682</v>
      </c>
      <c r="T56" s="9" t="s">
        <v>67</v>
      </c>
      <c r="U56" s="9" t="s">
        <v>8</v>
      </c>
      <c r="V56" s="10" t="n">
        <v>46291</v>
      </c>
      <c r="W56" s="8" t="s">
        <v>14</v>
      </c>
      <c r="X56" s="10" t="n">
        <v>46291</v>
      </c>
      <c r="Y56" s="9" t="s">
        <v>683</v>
      </c>
    </row>
    <row r="57" customFormat="false" ht="57" hidden="false" customHeight="true" outlineLevel="0" collapsed="false">
      <c r="A57" s="8" t="n">
        <v>56</v>
      </c>
      <c r="B57" s="8" t="s">
        <v>27</v>
      </c>
      <c r="C57" s="8" t="s">
        <v>671</v>
      </c>
      <c r="D57" s="8" t="s">
        <v>672</v>
      </c>
      <c r="E57" s="9" t="s">
        <v>18</v>
      </c>
      <c r="F57" s="9" t="s">
        <v>684</v>
      </c>
      <c r="G57" s="9" t="s">
        <v>685</v>
      </c>
      <c r="H57" s="9" t="s">
        <v>686</v>
      </c>
      <c r="I57" s="9" t="s">
        <v>687</v>
      </c>
      <c r="J57" s="9" t="s">
        <v>688</v>
      </c>
      <c r="K57" s="9" t="s">
        <v>689</v>
      </c>
      <c r="L57" s="9"/>
      <c r="M57" s="9" t="s">
        <v>690</v>
      </c>
      <c r="N57" s="9" t="s">
        <v>691</v>
      </c>
      <c r="O57" s="9" t="s">
        <v>692</v>
      </c>
      <c r="P57" s="8" t="s">
        <v>63</v>
      </c>
      <c r="Q57" s="9" t="s">
        <v>106</v>
      </c>
      <c r="R57" s="9" t="s">
        <v>693</v>
      </c>
      <c r="S57" s="9" t="s">
        <v>694</v>
      </c>
      <c r="T57" s="9" t="s">
        <v>67</v>
      </c>
      <c r="U57" s="9" t="s">
        <v>8</v>
      </c>
      <c r="V57" s="10" t="n">
        <v>46291</v>
      </c>
      <c r="W57" s="8" t="s">
        <v>14</v>
      </c>
      <c r="X57" s="10" t="n">
        <v>46291</v>
      </c>
      <c r="Y57" s="9" t="s">
        <v>695</v>
      </c>
    </row>
    <row r="58" customFormat="false" ht="45.75" hidden="false" customHeight="true" outlineLevel="0" collapsed="false">
      <c r="A58" s="8" t="n">
        <v>57</v>
      </c>
      <c r="B58" s="8" t="s">
        <v>27</v>
      </c>
      <c r="C58" s="8" t="s">
        <v>671</v>
      </c>
      <c r="D58" s="8" t="s">
        <v>672</v>
      </c>
      <c r="E58" s="9" t="s">
        <v>53</v>
      </c>
      <c r="F58" s="9" t="s">
        <v>696</v>
      </c>
      <c r="G58" s="9" t="s">
        <v>486</v>
      </c>
      <c r="H58" s="9" t="s">
        <v>697</v>
      </c>
      <c r="I58" s="9" t="s">
        <v>698</v>
      </c>
      <c r="J58" s="9" t="s">
        <v>699</v>
      </c>
      <c r="K58" s="9" t="s">
        <v>700</v>
      </c>
      <c r="L58" s="9" t="s">
        <v>701</v>
      </c>
      <c r="M58" s="9"/>
      <c r="N58" s="9" t="s">
        <v>702</v>
      </c>
      <c r="O58" s="9" t="s">
        <v>703</v>
      </c>
      <c r="P58" s="8" t="s">
        <v>63</v>
      </c>
      <c r="Q58" s="9" t="s">
        <v>64</v>
      </c>
      <c r="R58" s="9" t="s">
        <v>704</v>
      </c>
      <c r="S58" s="9" t="s">
        <v>705</v>
      </c>
      <c r="T58" s="9" t="s">
        <v>67</v>
      </c>
      <c r="U58" s="9" t="s">
        <v>8</v>
      </c>
      <c r="V58" s="10" t="n">
        <v>46291</v>
      </c>
      <c r="W58" s="8" t="s">
        <v>68</v>
      </c>
      <c r="X58" s="10"/>
      <c r="Y58" s="9" t="s">
        <v>69</v>
      </c>
    </row>
    <row r="59" customFormat="false" ht="45.75" hidden="false" customHeight="true" outlineLevel="0" collapsed="false">
      <c r="A59" s="8" t="n">
        <v>58</v>
      </c>
      <c r="B59" s="8" t="s">
        <v>27</v>
      </c>
      <c r="C59" s="8" t="s">
        <v>671</v>
      </c>
      <c r="D59" s="8" t="s">
        <v>672</v>
      </c>
      <c r="E59" s="9" t="s">
        <v>53</v>
      </c>
      <c r="F59" s="9" t="s">
        <v>706</v>
      </c>
      <c r="G59" s="9" t="s">
        <v>707</v>
      </c>
      <c r="H59" s="9" t="s">
        <v>708</v>
      </c>
      <c r="I59" s="9" t="s">
        <v>709</v>
      </c>
      <c r="J59" s="9" t="s">
        <v>126</v>
      </c>
      <c r="K59" s="9" t="s">
        <v>710</v>
      </c>
      <c r="L59" s="9"/>
      <c r="M59" s="9"/>
      <c r="N59" s="9" t="s">
        <v>711</v>
      </c>
      <c r="O59" s="9" t="s">
        <v>712</v>
      </c>
      <c r="P59" s="8" t="s">
        <v>63</v>
      </c>
      <c r="Q59" s="9" t="s">
        <v>64</v>
      </c>
      <c r="R59" s="9" t="s">
        <v>713</v>
      </c>
      <c r="S59" s="9" t="s">
        <v>714</v>
      </c>
      <c r="T59" s="9" t="s">
        <v>80</v>
      </c>
      <c r="U59" s="9" t="s">
        <v>81</v>
      </c>
      <c r="V59" s="10" t="n">
        <v>46291</v>
      </c>
      <c r="W59" s="8" t="s">
        <v>14</v>
      </c>
      <c r="X59" s="10" t="n">
        <v>46291</v>
      </c>
      <c r="Y59" s="9" t="s">
        <v>715</v>
      </c>
    </row>
    <row r="60" customFormat="false" ht="45.75" hidden="false" customHeight="true" outlineLevel="0" collapsed="false">
      <c r="A60" s="8" t="n">
        <v>59</v>
      </c>
      <c r="B60" s="8" t="s">
        <v>27</v>
      </c>
      <c r="C60" s="8" t="s">
        <v>671</v>
      </c>
      <c r="D60" s="8" t="s">
        <v>672</v>
      </c>
      <c r="E60" s="9" t="s">
        <v>53</v>
      </c>
      <c r="F60" s="9" t="s">
        <v>706</v>
      </c>
      <c r="G60" s="9" t="s">
        <v>716</v>
      </c>
      <c r="H60" s="9" t="s">
        <v>717</v>
      </c>
      <c r="I60" s="9" t="s">
        <v>718</v>
      </c>
      <c r="J60" s="9" t="s">
        <v>719</v>
      </c>
      <c r="K60" s="9" t="s">
        <v>710</v>
      </c>
      <c r="L60" s="9"/>
      <c r="M60" s="9"/>
      <c r="N60" s="9" t="s">
        <v>711</v>
      </c>
      <c r="O60" s="9" t="s">
        <v>712</v>
      </c>
      <c r="P60" s="8" t="s">
        <v>63</v>
      </c>
      <c r="Q60" s="9" t="s">
        <v>64</v>
      </c>
      <c r="R60" s="9" t="s">
        <v>720</v>
      </c>
      <c r="S60" s="9" t="s">
        <v>721</v>
      </c>
      <c r="T60" s="9" t="s">
        <v>80</v>
      </c>
      <c r="U60" s="9" t="s">
        <v>81</v>
      </c>
      <c r="V60" s="10" t="n">
        <v>46291</v>
      </c>
      <c r="W60" s="8" t="s">
        <v>95</v>
      </c>
      <c r="X60" s="10"/>
      <c r="Y60" s="9" t="s">
        <v>722</v>
      </c>
    </row>
    <row r="61" customFormat="false" ht="57" hidden="false" customHeight="true" outlineLevel="0" collapsed="false">
      <c r="A61" s="8" t="n">
        <v>60</v>
      </c>
      <c r="B61" s="8" t="s">
        <v>27</v>
      </c>
      <c r="C61" s="8" t="s">
        <v>671</v>
      </c>
      <c r="D61" s="8" t="s">
        <v>672</v>
      </c>
      <c r="E61" s="9" t="s">
        <v>53</v>
      </c>
      <c r="F61" s="9" t="s">
        <v>723</v>
      </c>
      <c r="G61" s="9" t="s">
        <v>724</v>
      </c>
      <c r="H61" s="9" t="s">
        <v>725</v>
      </c>
      <c r="I61" s="9" t="s">
        <v>726</v>
      </c>
      <c r="J61" s="9" t="s">
        <v>727</v>
      </c>
      <c r="K61" s="9" t="s">
        <v>728</v>
      </c>
      <c r="L61" s="9"/>
      <c r="M61" s="9" t="s">
        <v>729</v>
      </c>
      <c r="N61" s="9" t="s">
        <v>730</v>
      </c>
      <c r="O61" s="9" t="s">
        <v>731</v>
      </c>
      <c r="P61" s="8" t="s">
        <v>63</v>
      </c>
      <c r="Q61" s="9" t="s">
        <v>64</v>
      </c>
      <c r="R61" s="9" t="s">
        <v>732</v>
      </c>
      <c r="S61" s="9" t="s">
        <v>733</v>
      </c>
      <c r="T61" s="9" t="s">
        <v>67</v>
      </c>
      <c r="U61" s="9" t="s">
        <v>8</v>
      </c>
      <c r="V61" s="10" t="n">
        <v>46291</v>
      </c>
      <c r="W61" s="8" t="s">
        <v>14</v>
      </c>
      <c r="X61" s="10" t="n">
        <v>46291</v>
      </c>
      <c r="Y61" s="9" t="s">
        <v>734</v>
      </c>
    </row>
    <row r="62" customFormat="false" ht="45.75" hidden="false" customHeight="true" outlineLevel="0" collapsed="false">
      <c r="A62" s="8" t="n">
        <v>61</v>
      </c>
      <c r="B62" s="8" t="s">
        <v>27</v>
      </c>
      <c r="C62" s="8" t="s">
        <v>671</v>
      </c>
      <c r="D62" s="8" t="s">
        <v>672</v>
      </c>
      <c r="E62" s="9" t="s">
        <v>53</v>
      </c>
      <c r="F62" s="9" t="s">
        <v>735</v>
      </c>
      <c r="G62" s="9" t="s">
        <v>736</v>
      </c>
      <c r="H62" s="9" t="s">
        <v>737</v>
      </c>
      <c r="I62" s="9" t="s">
        <v>738</v>
      </c>
      <c r="J62" s="9" t="s">
        <v>739</v>
      </c>
      <c r="K62" s="9"/>
      <c r="L62" s="9"/>
      <c r="M62" s="9"/>
      <c r="N62" s="9" t="s">
        <v>740</v>
      </c>
      <c r="O62" s="9" t="s">
        <v>741</v>
      </c>
      <c r="P62" s="8" t="s">
        <v>129</v>
      </c>
      <c r="Q62" s="9" t="s">
        <v>64</v>
      </c>
      <c r="R62" s="9" t="s">
        <v>742</v>
      </c>
      <c r="S62" s="9" t="s">
        <v>743</v>
      </c>
      <c r="T62" s="9" t="s">
        <v>132</v>
      </c>
      <c r="U62" s="9" t="s">
        <v>133</v>
      </c>
      <c r="V62" s="10" t="n">
        <v>46291</v>
      </c>
      <c r="W62" s="8" t="s">
        <v>95</v>
      </c>
      <c r="X62" s="10"/>
      <c r="Y62" s="9" t="s">
        <v>134</v>
      </c>
    </row>
    <row r="63" customFormat="false" ht="45.75" hidden="false" customHeight="true" outlineLevel="0" collapsed="false">
      <c r="A63" s="8" t="n">
        <v>62</v>
      </c>
      <c r="B63" s="8" t="s">
        <v>27</v>
      </c>
      <c r="C63" s="8" t="s">
        <v>744</v>
      </c>
      <c r="D63" s="8" t="s">
        <v>745</v>
      </c>
      <c r="E63" s="9" t="s">
        <v>191</v>
      </c>
      <c r="F63" s="9" t="s">
        <v>746</v>
      </c>
      <c r="G63" s="9" t="s">
        <v>747</v>
      </c>
      <c r="H63" s="9" t="s">
        <v>748</v>
      </c>
      <c r="I63" s="9" t="s">
        <v>749</v>
      </c>
      <c r="J63" s="9" t="s">
        <v>750</v>
      </c>
      <c r="K63" s="9" t="s">
        <v>751</v>
      </c>
      <c r="L63" s="9"/>
      <c r="M63" s="9"/>
      <c r="N63" s="9" t="s">
        <v>752</v>
      </c>
      <c r="O63" s="9" t="s">
        <v>752</v>
      </c>
      <c r="P63" s="8" t="s">
        <v>63</v>
      </c>
      <c r="Q63" s="9" t="s">
        <v>201</v>
      </c>
      <c r="R63" s="9" t="s">
        <v>753</v>
      </c>
      <c r="S63" s="9" t="s">
        <v>754</v>
      </c>
      <c r="T63" s="9" t="s">
        <v>67</v>
      </c>
      <c r="U63" s="9" t="s">
        <v>8</v>
      </c>
      <c r="V63" s="10" t="n">
        <v>46291</v>
      </c>
      <c r="W63" s="8" t="s">
        <v>14</v>
      </c>
      <c r="X63" s="10" t="n">
        <v>46291</v>
      </c>
      <c r="Y63" s="9" t="s">
        <v>755</v>
      </c>
    </row>
    <row r="64" customFormat="false" ht="45.75" hidden="false" customHeight="true" outlineLevel="0" collapsed="false">
      <c r="A64" s="8" t="n">
        <v>63</v>
      </c>
      <c r="B64" s="8" t="s">
        <v>27</v>
      </c>
      <c r="C64" s="8" t="s">
        <v>671</v>
      </c>
      <c r="D64" s="8" t="s">
        <v>756</v>
      </c>
      <c r="E64" s="9" t="s">
        <v>191</v>
      </c>
      <c r="F64" s="9" t="s">
        <v>757</v>
      </c>
      <c r="G64" s="9" t="s">
        <v>758</v>
      </c>
      <c r="H64" s="9" t="s">
        <v>759</v>
      </c>
      <c r="I64" s="9" t="s">
        <v>760</v>
      </c>
      <c r="J64" s="9" t="s">
        <v>761</v>
      </c>
      <c r="K64" s="9"/>
      <c r="L64" s="9"/>
      <c r="M64" s="9"/>
      <c r="N64" s="9" t="s">
        <v>762</v>
      </c>
      <c r="O64" s="9" t="s">
        <v>763</v>
      </c>
      <c r="P64" s="8" t="s">
        <v>63</v>
      </c>
      <c r="Q64" s="9" t="s">
        <v>201</v>
      </c>
      <c r="R64" s="9" t="s">
        <v>764</v>
      </c>
      <c r="S64" s="9" t="s">
        <v>765</v>
      </c>
      <c r="T64" s="9" t="s">
        <v>132</v>
      </c>
      <c r="U64" s="9" t="s">
        <v>133</v>
      </c>
      <c r="V64" s="10" t="n">
        <v>46291</v>
      </c>
      <c r="W64" s="8" t="s">
        <v>95</v>
      </c>
      <c r="X64" s="10"/>
      <c r="Y64" s="9" t="s">
        <v>134</v>
      </c>
    </row>
    <row r="65" customFormat="false" ht="57" hidden="false" customHeight="true" outlineLevel="0" collapsed="false">
      <c r="A65" s="8" t="n">
        <v>64</v>
      </c>
      <c r="B65" s="8" t="s">
        <v>27</v>
      </c>
      <c r="C65" s="8" t="s">
        <v>671</v>
      </c>
      <c r="D65" s="8" t="s">
        <v>766</v>
      </c>
      <c r="E65" s="9" t="s">
        <v>191</v>
      </c>
      <c r="F65" s="9" t="s">
        <v>767</v>
      </c>
      <c r="G65" s="9" t="s">
        <v>768</v>
      </c>
      <c r="H65" s="9" t="s">
        <v>769</v>
      </c>
      <c r="I65" s="9" t="s">
        <v>770</v>
      </c>
      <c r="J65" s="9" t="s">
        <v>139</v>
      </c>
      <c r="K65" s="9" t="s">
        <v>771</v>
      </c>
      <c r="L65" s="9"/>
      <c r="M65" s="9" t="s">
        <v>772</v>
      </c>
      <c r="N65" s="9" t="s">
        <v>773</v>
      </c>
      <c r="O65" s="9" t="s">
        <v>774</v>
      </c>
      <c r="P65" s="8" t="s">
        <v>63</v>
      </c>
      <c r="Q65" s="9" t="s">
        <v>201</v>
      </c>
      <c r="R65" s="9" t="s">
        <v>775</v>
      </c>
      <c r="S65" s="9" t="s">
        <v>776</v>
      </c>
      <c r="T65" s="9" t="s">
        <v>67</v>
      </c>
      <c r="U65" s="9" t="s">
        <v>8</v>
      </c>
      <c r="V65" s="10" t="n">
        <v>46291</v>
      </c>
      <c r="W65" s="8" t="s">
        <v>95</v>
      </c>
      <c r="X65" s="10"/>
      <c r="Y65" s="9" t="s">
        <v>777</v>
      </c>
    </row>
    <row r="66" customFormat="false" ht="34.5" hidden="false" customHeight="true" outlineLevel="0" collapsed="false">
      <c r="A66" s="8" t="n">
        <v>65</v>
      </c>
      <c r="B66" s="8" t="s">
        <v>27</v>
      </c>
      <c r="C66" s="8" t="s">
        <v>671</v>
      </c>
      <c r="D66" s="8" t="s">
        <v>672</v>
      </c>
      <c r="E66" s="9" t="s">
        <v>53</v>
      </c>
      <c r="F66" s="9" t="s">
        <v>778</v>
      </c>
      <c r="G66" s="9" t="s">
        <v>779</v>
      </c>
      <c r="H66" s="9" t="s">
        <v>780</v>
      </c>
      <c r="I66" s="9" t="s">
        <v>781</v>
      </c>
      <c r="J66" s="9" t="s">
        <v>344</v>
      </c>
      <c r="K66" s="9"/>
      <c r="L66" s="9"/>
      <c r="M66" s="9"/>
      <c r="N66" s="9" t="s">
        <v>782</v>
      </c>
      <c r="O66" s="9" t="s">
        <v>782</v>
      </c>
      <c r="P66" s="8" t="s">
        <v>129</v>
      </c>
      <c r="Q66" s="9" t="s">
        <v>64</v>
      </c>
      <c r="R66" s="9" t="s">
        <v>783</v>
      </c>
      <c r="S66" s="9" t="s">
        <v>784</v>
      </c>
      <c r="T66" s="9" t="s">
        <v>132</v>
      </c>
      <c r="U66" s="9" t="s">
        <v>133</v>
      </c>
      <c r="V66" s="10" t="n">
        <v>46291</v>
      </c>
      <c r="W66" s="8" t="s">
        <v>95</v>
      </c>
      <c r="X66" s="10"/>
      <c r="Y66" s="9" t="s">
        <v>134</v>
      </c>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ustomFormat="false" ht="1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ustomFormat="false" ht="1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ustomFormat="false" ht="1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ustomFormat="false" ht="1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ustomFormat="false" ht="1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ustomFormat="false" ht="1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ustomFormat="false" ht="1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ustomFormat="false" ht="1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ustomFormat="false" ht="1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ustomFormat="false" ht="1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ustomFormat="false" ht="1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ustomFormat="false" ht="1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ustomFormat="false" ht="1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ustomFormat="false" ht="1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ustomFormat="false" ht="1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ustomFormat="false" ht="1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ustomFormat="false" ht="1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ustomFormat="false" ht="1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ustomFormat="false" ht="1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ustomFormat="false" ht="1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ustomFormat="false" ht="1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ustomFormat="false" ht="1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ustomFormat="false" ht="1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ustomFormat="false" ht="1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ustomFormat="false" ht="1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ustomFormat="false" ht="1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ustomFormat="false" ht="1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ustomFormat="false" ht="1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ustomFormat="false" ht="1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ustomFormat="false" ht="1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ustomFormat="false" ht="1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ustomFormat="false" ht="1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ustomFormat="false" ht="1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ustomFormat="false" ht="1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ustomFormat="false" ht="1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ustomFormat="false" ht="1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ustomFormat="false" ht="1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ustomFormat="false" ht="1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ustomFormat="false" ht="1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ustomFormat="false" ht="1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ustomFormat="false" ht="1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ustomFormat="false" ht="1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ustomFormat="false" ht="1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ustomFormat="false" ht="1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ustomFormat="false" ht="1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ustomFormat="false" ht="1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ustomFormat="false" ht="1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ustomFormat="false" ht="1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ustomFormat="false" ht="1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ustomFormat="false" ht="1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ustomFormat="false" ht="1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ustomFormat="false" ht="1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ustomFormat="false" ht="1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ustomFormat="false" ht="1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ustomFormat="false" ht="1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ustomFormat="false" ht="1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ustomFormat="false" ht="1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ustomFormat="false" ht="1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ustomFormat="false" ht="1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ustomFormat="false" ht="1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ustomFormat="false" ht="1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ustomFormat="false" ht="1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ustomFormat="false" ht="1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ustomFormat="false" ht="1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ustomFormat="false" ht="1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ustomFormat="false" ht="1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ustomFormat="false" ht="1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ustomFormat="false" ht="1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ustomFormat="false" ht="1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ustomFormat="false" ht="1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ustomFormat="false" ht="1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ustomFormat="false" ht="1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ustomFormat="false" ht="1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ustomFormat="false" ht="1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ustomFormat="false" ht="1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ustomFormat="false" ht="1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ustomFormat="false" ht="1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ustomFormat="false" ht="1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ustomFormat="false" ht="1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ustomFormat="false" ht="1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sheetData>
  <conditionalFormatting sqref="P2:P66">
    <cfRule type="expression" priority="2" aboveAverage="0" equalAverage="0" bottom="0" percent="0" rank="0" text="" dxfId="8">
      <formula>P2="A"</formula>
    </cfRule>
    <cfRule type="expression" priority="3" aboveAverage="0" equalAverage="0" bottom="0" percent="0" rank="0" text="" dxfId="9">
      <formula>P2="B"</formula>
    </cfRule>
    <cfRule type="expression" priority="4" aboveAverage="0" equalAverage="0" bottom="0" percent="0" rank="0" text="" dxfId="10">
      <formula>P2="C"</formula>
    </cfRule>
  </conditionalFormatting>
  <conditionalFormatting sqref="W2:W66">
    <cfRule type="expression" priority="5" aboveAverage="0" equalAverage="0" bottom="0" percent="0" rank="0" text="" dxfId="8">
      <formula>OR(W2="Replied",W2="Meeting Booked")</formula>
    </cfRule>
    <cfRule type="expression" priority="6" aboveAverage="0" equalAverage="0" bottom="0" percent="0" rank="0" text="" dxfId="11">
      <formula>W2="Sent"</formula>
    </cfRule>
  </conditionalFormatting>
  <dataValidations count="2">
    <dataValidation allowBlank="false" errorStyle="stop" operator="between" showDropDown="false" showErrorMessage="false" showInputMessage="false" sqref="P2:P116" type="list">
      <formula1>"A,B,C"</formula1>
      <formula2>0</formula2>
    </dataValidation>
    <dataValidation allowBlank="false" errorStyle="stop" operator="between" showDropDown="false" showErrorMessage="false" showInputMessage="false" sqref="W2:W116" type="list">
      <formula1>"Not Contacted,Drafted,Sent,Replied,Meeting Booked,Follow-up,Closed,Not Pursuing"</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22"/>
    <col collapsed="false" customWidth="true" hidden="false" outlineLevel="0" max="4" min="3" style="1" width="31"/>
    <col collapsed="false" customWidth="true" hidden="false" outlineLevel="0" max="5" min="5" style="1" width="34"/>
    <col collapsed="false" customWidth="true" hidden="false" outlineLevel="0" max="6" min="6" style="1" width="24"/>
    <col collapsed="false" customWidth="true" hidden="false" outlineLevel="0" max="7" min="7" style="1" width="27"/>
    <col collapsed="false" customWidth="true" hidden="false" outlineLevel="0" max="9" min="8" style="1" width="31"/>
    <col collapsed="false" customWidth="true" hidden="false" outlineLevel="0" max="10" min="10" style="1" width="8"/>
    <col collapsed="false" customWidth="true" hidden="false" outlineLevel="0" max="11" min="11" style="1" width="47"/>
    <col collapsed="false" customWidth="true" hidden="false" outlineLevel="0" max="12" min="12" style="1" width="54"/>
    <col collapsed="false" customWidth="true" hidden="false" outlineLevel="0" max="13" min="13" style="1" width="44"/>
    <col collapsed="false" customWidth="true" hidden="false" outlineLevel="0" max="14" min="14" style="1" width="18"/>
  </cols>
  <sheetData>
    <row r="1" customFormat="false" ht="33.75" hidden="false" customHeight="true" outlineLevel="0" collapsed="false">
      <c r="A1" s="11" t="s">
        <v>19</v>
      </c>
      <c r="B1" s="11" t="s">
        <v>785</v>
      </c>
      <c r="C1" s="11" t="s">
        <v>31</v>
      </c>
      <c r="D1" s="11" t="s">
        <v>786</v>
      </c>
      <c r="E1" s="11" t="s">
        <v>787</v>
      </c>
      <c r="F1" s="11" t="s">
        <v>35</v>
      </c>
      <c r="G1" s="11" t="s">
        <v>36</v>
      </c>
      <c r="H1" s="11" t="s">
        <v>37</v>
      </c>
      <c r="I1" s="11" t="s">
        <v>788</v>
      </c>
      <c r="J1" s="11" t="s">
        <v>42</v>
      </c>
      <c r="K1" s="11" t="s">
        <v>44</v>
      </c>
      <c r="L1" s="11" t="s">
        <v>45</v>
      </c>
      <c r="M1" s="11" t="s">
        <v>789</v>
      </c>
      <c r="N1" s="11" t="s">
        <v>49</v>
      </c>
      <c r="O1" s="3"/>
      <c r="P1" s="3"/>
      <c r="Q1" s="3"/>
      <c r="R1" s="3"/>
      <c r="S1" s="3"/>
      <c r="T1" s="3"/>
      <c r="U1" s="3"/>
      <c r="V1" s="3"/>
      <c r="W1" s="3"/>
      <c r="X1" s="3"/>
      <c r="Y1" s="3"/>
    </row>
    <row r="2" customFormat="false" ht="45.75" hidden="false" customHeight="true" outlineLevel="0" collapsed="false">
      <c r="A2" s="8" t="s">
        <v>23</v>
      </c>
      <c r="B2" s="8" t="s">
        <v>52</v>
      </c>
      <c r="C2" s="9" t="s">
        <v>53</v>
      </c>
      <c r="D2" s="9" t="s">
        <v>54</v>
      </c>
      <c r="E2" s="9" t="s">
        <v>55</v>
      </c>
      <c r="F2" s="9" t="s">
        <v>57</v>
      </c>
      <c r="G2" s="9" t="s">
        <v>58</v>
      </c>
      <c r="H2" s="9" t="s">
        <v>59</v>
      </c>
      <c r="I2" s="9"/>
      <c r="J2" s="8" t="s">
        <v>63</v>
      </c>
      <c r="K2" s="9" t="s">
        <v>65</v>
      </c>
      <c r="L2" s="9" t="s">
        <v>66</v>
      </c>
      <c r="M2" s="9" t="s">
        <v>61</v>
      </c>
      <c r="N2" s="8" t="s">
        <v>68</v>
      </c>
      <c r="O2" s="3"/>
      <c r="P2" s="3"/>
      <c r="Q2" s="3"/>
      <c r="R2" s="3"/>
      <c r="S2" s="3"/>
      <c r="T2" s="3"/>
      <c r="U2" s="3"/>
      <c r="V2" s="3"/>
      <c r="W2" s="3"/>
      <c r="X2" s="3"/>
      <c r="Y2" s="3"/>
    </row>
    <row r="3" customFormat="false" ht="45.75" hidden="false" customHeight="true" outlineLevel="0" collapsed="false">
      <c r="A3" s="8" t="s">
        <v>23</v>
      </c>
      <c r="B3" s="8" t="s">
        <v>52</v>
      </c>
      <c r="C3" s="9" t="s">
        <v>53</v>
      </c>
      <c r="D3" s="9" t="s">
        <v>70</v>
      </c>
      <c r="E3" s="9" t="s">
        <v>71</v>
      </c>
      <c r="F3" s="9" t="s">
        <v>73</v>
      </c>
      <c r="G3" s="9" t="s">
        <v>74</v>
      </c>
      <c r="H3" s="9" t="s">
        <v>75</v>
      </c>
      <c r="I3" s="9"/>
      <c r="J3" s="8" t="s">
        <v>63</v>
      </c>
      <c r="K3" s="9" t="s">
        <v>78</v>
      </c>
      <c r="L3" s="9" t="s">
        <v>79</v>
      </c>
      <c r="M3" s="9" t="s">
        <v>76</v>
      </c>
      <c r="N3" s="8" t="s">
        <v>68</v>
      </c>
      <c r="O3" s="3"/>
      <c r="P3" s="3"/>
      <c r="Q3" s="3"/>
      <c r="R3" s="3"/>
      <c r="S3" s="3"/>
      <c r="T3" s="3"/>
      <c r="U3" s="3"/>
      <c r="V3" s="3"/>
      <c r="W3" s="3"/>
      <c r="X3" s="3"/>
      <c r="Y3" s="3"/>
    </row>
    <row r="4" customFormat="false" ht="45.75" hidden="false" customHeight="true" outlineLevel="0" collapsed="false">
      <c r="A4" s="8" t="s">
        <v>23</v>
      </c>
      <c r="B4" s="8" t="s">
        <v>82</v>
      </c>
      <c r="C4" s="9" t="s">
        <v>53</v>
      </c>
      <c r="D4" s="9" t="s">
        <v>83</v>
      </c>
      <c r="E4" s="9" t="s">
        <v>84</v>
      </c>
      <c r="F4" s="9" t="s">
        <v>86</v>
      </c>
      <c r="G4" s="9" t="s">
        <v>87</v>
      </c>
      <c r="H4" s="9" t="s">
        <v>88</v>
      </c>
      <c r="I4" s="9" t="s">
        <v>89</v>
      </c>
      <c r="J4" s="8" t="s">
        <v>63</v>
      </c>
      <c r="K4" s="9" t="s">
        <v>93</v>
      </c>
      <c r="L4" s="9" t="s">
        <v>94</v>
      </c>
      <c r="M4" s="9" t="s">
        <v>91</v>
      </c>
      <c r="N4" s="8" t="s">
        <v>95</v>
      </c>
      <c r="O4" s="3"/>
      <c r="P4" s="3"/>
      <c r="Q4" s="3"/>
      <c r="R4" s="3"/>
      <c r="S4" s="3"/>
      <c r="T4" s="3"/>
      <c r="U4" s="3"/>
      <c r="V4" s="3"/>
      <c r="W4" s="3"/>
      <c r="X4" s="3"/>
      <c r="Y4" s="3"/>
    </row>
    <row r="5" customFormat="false" ht="45.75" hidden="false" customHeight="true" outlineLevel="0" collapsed="false">
      <c r="A5" s="8" t="s">
        <v>23</v>
      </c>
      <c r="B5" s="8" t="s">
        <v>82</v>
      </c>
      <c r="C5" s="9" t="s">
        <v>18</v>
      </c>
      <c r="D5" s="9" t="s">
        <v>97</v>
      </c>
      <c r="E5" s="9" t="s">
        <v>98</v>
      </c>
      <c r="F5" s="9" t="s">
        <v>100</v>
      </c>
      <c r="G5" s="9" t="s">
        <v>101</v>
      </c>
      <c r="H5" s="9" t="s">
        <v>102</v>
      </c>
      <c r="I5" s="9" t="s">
        <v>103</v>
      </c>
      <c r="J5" s="8" t="s">
        <v>63</v>
      </c>
      <c r="K5" s="9" t="s">
        <v>107</v>
      </c>
      <c r="L5" s="9" t="s">
        <v>108</v>
      </c>
      <c r="M5" s="9" t="s">
        <v>104</v>
      </c>
      <c r="N5" s="8" t="s">
        <v>14</v>
      </c>
      <c r="O5" s="3"/>
      <c r="P5" s="3"/>
      <c r="Q5" s="3"/>
      <c r="R5" s="3"/>
      <c r="S5" s="3"/>
      <c r="T5" s="3"/>
      <c r="U5" s="3"/>
      <c r="V5" s="3"/>
      <c r="W5" s="3"/>
      <c r="X5" s="3"/>
      <c r="Y5" s="3"/>
    </row>
    <row r="6" customFormat="false" ht="45.75" hidden="false" customHeight="true" outlineLevel="0" collapsed="false">
      <c r="A6" s="8" t="s">
        <v>23</v>
      </c>
      <c r="B6" s="8" t="s">
        <v>110</v>
      </c>
      <c r="C6" s="9" t="s">
        <v>53</v>
      </c>
      <c r="D6" s="9" t="s">
        <v>111</v>
      </c>
      <c r="E6" s="9" t="s">
        <v>112</v>
      </c>
      <c r="F6" s="9" t="s">
        <v>114</v>
      </c>
      <c r="G6" s="9" t="s">
        <v>115</v>
      </c>
      <c r="H6" s="9" t="s">
        <v>116</v>
      </c>
      <c r="I6" s="9"/>
      <c r="J6" s="8" t="s">
        <v>63</v>
      </c>
      <c r="K6" s="9" t="s">
        <v>120</v>
      </c>
      <c r="L6" s="9" t="s">
        <v>121</v>
      </c>
      <c r="M6" s="9" t="s">
        <v>118</v>
      </c>
      <c r="N6" s="8" t="s">
        <v>68</v>
      </c>
      <c r="O6" s="3"/>
      <c r="P6" s="3"/>
      <c r="Q6" s="3"/>
      <c r="R6" s="3"/>
      <c r="S6" s="3"/>
      <c r="T6" s="3"/>
      <c r="U6" s="3"/>
      <c r="V6" s="3"/>
      <c r="W6" s="3"/>
      <c r="X6" s="3"/>
      <c r="Y6" s="3"/>
    </row>
    <row r="7" customFormat="false" ht="45.75" hidden="false" customHeight="true" outlineLevel="0" collapsed="false">
      <c r="A7" s="8" t="s">
        <v>23</v>
      </c>
      <c r="B7" s="8" t="s">
        <v>82</v>
      </c>
      <c r="C7" s="9" t="s">
        <v>18</v>
      </c>
      <c r="D7" s="9" t="s">
        <v>145</v>
      </c>
      <c r="E7" s="9" t="s">
        <v>146</v>
      </c>
      <c r="F7" s="9" t="s">
        <v>148</v>
      </c>
      <c r="G7" s="9" t="s">
        <v>149</v>
      </c>
      <c r="H7" s="9" t="s">
        <v>150</v>
      </c>
      <c r="I7" s="9"/>
      <c r="J7" s="8" t="s">
        <v>63</v>
      </c>
      <c r="K7" s="9" t="s">
        <v>154</v>
      </c>
      <c r="L7" s="9" t="s">
        <v>155</v>
      </c>
      <c r="M7" s="9" t="s">
        <v>152</v>
      </c>
      <c r="N7" s="8" t="s">
        <v>95</v>
      </c>
      <c r="O7" s="3"/>
      <c r="P7" s="3"/>
      <c r="Q7" s="3"/>
      <c r="R7" s="3"/>
      <c r="S7" s="3"/>
      <c r="T7" s="3"/>
      <c r="U7" s="3"/>
      <c r="V7" s="3"/>
      <c r="W7" s="3"/>
      <c r="X7" s="3"/>
      <c r="Y7" s="3"/>
    </row>
    <row r="8" customFormat="false" ht="45.75" hidden="false" customHeight="true" outlineLevel="0" collapsed="false">
      <c r="A8" s="8" t="s">
        <v>23</v>
      </c>
      <c r="B8" s="8" t="s">
        <v>52</v>
      </c>
      <c r="C8" s="9" t="s">
        <v>18</v>
      </c>
      <c r="D8" s="9" t="s">
        <v>157</v>
      </c>
      <c r="E8" s="9" t="s">
        <v>158</v>
      </c>
      <c r="F8" s="9" t="s">
        <v>160</v>
      </c>
      <c r="G8" s="9" t="s">
        <v>161</v>
      </c>
      <c r="H8" s="9" t="s">
        <v>162</v>
      </c>
      <c r="I8" s="9"/>
      <c r="J8" s="8" t="s">
        <v>63</v>
      </c>
      <c r="K8" s="9" t="s">
        <v>166</v>
      </c>
      <c r="L8" s="9" t="s">
        <v>167</v>
      </c>
      <c r="M8" s="9" t="s">
        <v>164</v>
      </c>
      <c r="N8" s="8" t="s">
        <v>14</v>
      </c>
      <c r="O8" s="3"/>
      <c r="P8" s="3"/>
      <c r="Q8" s="3"/>
      <c r="R8" s="3"/>
      <c r="S8" s="3"/>
      <c r="T8" s="3"/>
      <c r="U8" s="3"/>
      <c r="V8" s="3"/>
      <c r="W8" s="3"/>
      <c r="X8" s="3"/>
      <c r="Y8" s="3"/>
    </row>
    <row r="9" customFormat="false" ht="45.75" hidden="false" customHeight="true" outlineLevel="0" collapsed="false">
      <c r="A9" s="8" t="s">
        <v>23</v>
      </c>
      <c r="B9" s="8" t="s">
        <v>110</v>
      </c>
      <c r="C9" s="9" t="s">
        <v>18</v>
      </c>
      <c r="D9" s="9" t="s">
        <v>169</v>
      </c>
      <c r="E9" s="9" t="s">
        <v>158</v>
      </c>
      <c r="F9" s="9" t="s">
        <v>171</v>
      </c>
      <c r="G9" s="9" t="s">
        <v>172</v>
      </c>
      <c r="H9" s="9" t="s">
        <v>173</v>
      </c>
      <c r="I9" s="9" t="s">
        <v>174</v>
      </c>
      <c r="J9" s="8" t="s">
        <v>63</v>
      </c>
      <c r="K9" s="9" t="s">
        <v>166</v>
      </c>
      <c r="L9" s="9" t="s">
        <v>177</v>
      </c>
      <c r="M9" s="9" t="s">
        <v>176</v>
      </c>
      <c r="N9" s="8" t="s">
        <v>14</v>
      </c>
      <c r="O9" s="3"/>
      <c r="P9" s="3"/>
      <c r="Q9" s="3"/>
      <c r="R9" s="3"/>
      <c r="S9" s="3"/>
      <c r="T9" s="3"/>
      <c r="U9" s="3"/>
      <c r="V9" s="3"/>
      <c r="W9" s="3"/>
      <c r="X9" s="3"/>
      <c r="Y9" s="3"/>
    </row>
    <row r="10" customFormat="false" ht="57" hidden="false" customHeight="true" outlineLevel="0" collapsed="false">
      <c r="A10" s="8" t="s">
        <v>23</v>
      </c>
      <c r="B10" s="8" t="s">
        <v>82</v>
      </c>
      <c r="C10" s="9" t="s">
        <v>15</v>
      </c>
      <c r="D10" s="9" t="s">
        <v>179</v>
      </c>
      <c r="E10" s="9" t="s">
        <v>180</v>
      </c>
      <c r="F10" s="9" t="s">
        <v>182</v>
      </c>
      <c r="G10" s="9" t="s">
        <v>183</v>
      </c>
      <c r="H10" s="9" t="s">
        <v>184</v>
      </c>
      <c r="I10" s="9" t="s">
        <v>185</v>
      </c>
      <c r="J10" s="8" t="s">
        <v>63</v>
      </c>
      <c r="K10" s="9" t="s">
        <v>189</v>
      </c>
      <c r="L10" s="9" t="s">
        <v>190</v>
      </c>
      <c r="M10" s="9" t="s">
        <v>187</v>
      </c>
      <c r="N10" s="8" t="s">
        <v>68</v>
      </c>
      <c r="O10" s="3"/>
      <c r="P10" s="3"/>
      <c r="Q10" s="3"/>
      <c r="R10" s="3"/>
      <c r="S10" s="3"/>
      <c r="T10" s="3"/>
      <c r="U10" s="3"/>
      <c r="V10" s="3"/>
      <c r="W10" s="3"/>
      <c r="X10" s="3"/>
      <c r="Y10" s="3"/>
    </row>
    <row r="11" customFormat="false" ht="45.75" hidden="false" customHeight="true" outlineLevel="0" collapsed="false">
      <c r="A11" s="8" t="s">
        <v>23</v>
      </c>
      <c r="B11" s="8" t="s">
        <v>52</v>
      </c>
      <c r="C11" s="9" t="s">
        <v>191</v>
      </c>
      <c r="D11" s="9" t="s">
        <v>192</v>
      </c>
      <c r="E11" s="9" t="s">
        <v>193</v>
      </c>
      <c r="F11" s="9" t="s">
        <v>195</v>
      </c>
      <c r="G11" s="9" t="s">
        <v>196</v>
      </c>
      <c r="H11" s="9" t="s">
        <v>197</v>
      </c>
      <c r="I11" s="9" t="s">
        <v>198</v>
      </c>
      <c r="J11" s="8" t="s">
        <v>63</v>
      </c>
      <c r="K11" s="9" t="s">
        <v>202</v>
      </c>
      <c r="L11" s="9" t="s">
        <v>203</v>
      </c>
      <c r="M11" s="9" t="s">
        <v>199</v>
      </c>
      <c r="N11" s="8" t="s">
        <v>14</v>
      </c>
      <c r="O11" s="3"/>
      <c r="P11" s="3"/>
      <c r="Q11" s="3"/>
      <c r="R11" s="3"/>
      <c r="S11" s="3"/>
      <c r="T11" s="3"/>
      <c r="U11" s="3"/>
      <c r="V11" s="3"/>
      <c r="W11" s="3"/>
      <c r="X11" s="3"/>
      <c r="Y11" s="3"/>
    </row>
    <row r="12" customFormat="false" ht="57" hidden="false" customHeight="true" outlineLevel="0" collapsed="false">
      <c r="A12" s="8" t="s">
        <v>23</v>
      </c>
      <c r="B12" s="8" t="s">
        <v>52</v>
      </c>
      <c r="C12" s="9" t="s">
        <v>191</v>
      </c>
      <c r="D12" s="9" t="s">
        <v>205</v>
      </c>
      <c r="E12" s="9" t="s">
        <v>206</v>
      </c>
      <c r="F12" s="9" t="s">
        <v>208</v>
      </c>
      <c r="G12" s="9" t="s">
        <v>209</v>
      </c>
      <c r="H12" s="9" t="s">
        <v>210</v>
      </c>
      <c r="I12" s="9" t="s">
        <v>211</v>
      </c>
      <c r="J12" s="8" t="s">
        <v>63</v>
      </c>
      <c r="K12" s="9" t="s">
        <v>215</v>
      </c>
      <c r="L12" s="9" t="s">
        <v>216</v>
      </c>
      <c r="M12" s="9" t="s">
        <v>213</v>
      </c>
      <c r="N12" s="8" t="s">
        <v>14</v>
      </c>
      <c r="O12" s="3"/>
      <c r="P12" s="3"/>
      <c r="Q12" s="3"/>
      <c r="R12" s="3"/>
      <c r="S12" s="3"/>
      <c r="T12" s="3"/>
      <c r="U12" s="3"/>
      <c r="V12" s="3"/>
      <c r="W12" s="3"/>
      <c r="X12" s="3"/>
      <c r="Y12" s="3"/>
    </row>
    <row r="13" customFormat="false" ht="45.75" hidden="false" customHeight="true" outlineLevel="0" collapsed="false">
      <c r="A13" s="8" t="s">
        <v>23</v>
      </c>
      <c r="B13" s="8" t="s">
        <v>110</v>
      </c>
      <c r="C13" s="9" t="s">
        <v>191</v>
      </c>
      <c r="D13" s="9" t="s">
        <v>218</v>
      </c>
      <c r="E13" s="9" t="s">
        <v>123</v>
      </c>
      <c r="F13" s="9" t="s">
        <v>220</v>
      </c>
      <c r="G13" s="9" t="s">
        <v>221</v>
      </c>
      <c r="H13" s="9" t="s">
        <v>222</v>
      </c>
      <c r="I13" s="9" t="s">
        <v>223</v>
      </c>
      <c r="J13" s="8" t="s">
        <v>63</v>
      </c>
      <c r="K13" s="9" t="s">
        <v>130</v>
      </c>
      <c r="L13" s="9" t="s">
        <v>225</v>
      </c>
      <c r="M13" s="9" t="s">
        <v>224</v>
      </c>
      <c r="N13" s="8" t="s">
        <v>14</v>
      </c>
      <c r="O13" s="3"/>
      <c r="P13" s="3"/>
      <c r="Q13" s="3"/>
      <c r="R13" s="3"/>
      <c r="S13" s="3"/>
      <c r="T13" s="3"/>
      <c r="U13" s="3"/>
      <c r="V13" s="3"/>
      <c r="W13" s="3"/>
      <c r="X13" s="3"/>
      <c r="Y13" s="3"/>
    </row>
    <row r="14" customFormat="false" ht="57" hidden="false" customHeight="true" outlineLevel="0" collapsed="false">
      <c r="A14" s="8" t="s">
        <v>23</v>
      </c>
      <c r="B14" s="8" t="s">
        <v>52</v>
      </c>
      <c r="C14" s="9" t="s">
        <v>15</v>
      </c>
      <c r="D14" s="9" t="s">
        <v>228</v>
      </c>
      <c r="E14" s="9" t="s">
        <v>229</v>
      </c>
      <c r="F14" s="9" t="s">
        <v>231</v>
      </c>
      <c r="G14" s="9" t="s">
        <v>232</v>
      </c>
      <c r="H14" s="9" t="s">
        <v>233</v>
      </c>
      <c r="I14" s="9" t="s">
        <v>234</v>
      </c>
      <c r="J14" s="8" t="s">
        <v>129</v>
      </c>
      <c r="K14" s="9" t="s">
        <v>237</v>
      </c>
      <c r="L14" s="9" t="s">
        <v>238</v>
      </c>
      <c r="M14" s="9" t="s">
        <v>235</v>
      </c>
      <c r="N14" s="8" t="s">
        <v>14</v>
      </c>
      <c r="O14" s="3"/>
      <c r="P14" s="3"/>
      <c r="Q14" s="3"/>
      <c r="R14" s="3"/>
      <c r="S14" s="3"/>
      <c r="T14" s="3"/>
      <c r="U14" s="3"/>
      <c r="V14" s="3"/>
      <c r="W14" s="3"/>
      <c r="X14" s="3"/>
      <c r="Y14" s="3"/>
    </row>
    <row r="15" customFormat="false" ht="57" hidden="false" customHeight="true" outlineLevel="0" collapsed="false">
      <c r="A15" s="8" t="s">
        <v>23</v>
      </c>
      <c r="B15" s="8" t="s">
        <v>82</v>
      </c>
      <c r="C15" s="9" t="s">
        <v>191</v>
      </c>
      <c r="D15" s="9" t="s">
        <v>240</v>
      </c>
      <c r="E15" s="9" t="s">
        <v>241</v>
      </c>
      <c r="F15" s="9" t="s">
        <v>243</v>
      </c>
      <c r="G15" s="9" t="s">
        <v>244</v>
      </c>
      <c r="H15" s="9" t="s">
        <v>245</v>
      </c>
      <c r="I15" s="9" t="s">
        <v>246</v>
      </c>
      <c r="J15" s="8" t="s">
        <v>63</v>
      </c>
      <c r="K15" s="9" t="s">
        <v>250</v>
      </c>
      <c r="L15" s="9" t="s">
        <v>251</v>
      </c>
      <c r="M15" s="9" t="s">
        <v>248</v>
      </c>
      <c r="N15" s="8" t="s">
        <v>14</v>
      </c>
      <c r="O15" s="3"/>
      <c r="P15" s="3"/>
      <c r="Q15" s="3"/>
      <c r="R15" s="3"/>
      <c r="S15" s="3"/>
      <c r="T15" s="3"/>
      <c r="U15" s="3"/>
      <c r="V15" s="3"/>
      <c r="W15" s="3"/>
      <c r="X15" s="3"/>
      <c r="Y15" s="3"/>
    </row>
    <row r="16" customFormat="false" ht="45.75" hidden="false" customHeight="true" outlineLevel="0" collapsed="false">
      <c r="A16" s="8" t="s">
        <v>23</v>
      </c>
      <c r="B16" s="8" t="s">
        <v>82</v>
      </c>
      <c r="C16" s="9" t="s">
        <v>15</v>
      </c>
      <c r="D16" s="9" t="s">
        <v>253</v>
      </c>
      <c r="E16" s="9" t="s">
        <v>254</v>
      </c>
      <c r="F16" s="9" t="s">
        <v>256</v>
      </c>
      <c r="G16" s="9" t="s">
        <v>257</v>
      </c>
      <c r="H16" s="9" t="s">
        <v>258</v>
      </c>
      <c r="I16" s="9" t="s">
        <v>259</v>
      </c>
      <c r="J16" s="8" t="s">
        <v>129</v>
      </c>
      <c r="K16" s="9" t="s">
        <v>262</v>
      </c>
      <c r="L16" s="9" t="s">
        <v>263</v>
      </c>
      <c r="M16" s="9" t="s">
        <v>260</v>
      </c>
      <c r="N16" s="8" t="s">
        <v>14</v>
      </c>
      <c r="O16" s="3"/>
      <c r="P16" s="3"/>
      <c r="Q16" s="3"/>
      <c r="R16" s="3"/>
      <c r="S16" s="3"/>
      <c r="T16" s="3"/>
      <c r="U16" s="3"/>
      <c r="V16" s="3"/>
      <c r="W16" s="3"/>
      <c r="X16" s="3"/>
      <c r="Y16" s="3"/>
    </row>
    <row r="17" customFormat="false" ht="57" hidden="false" customHeight="true" outlineLevel="0" collapsed="false">
      <c r="A17" s="8" t="s">
        <v>24</v>
      </c>
      <c r="B17" s="8" t="s">
        <v>283</v>
      </c>
      <c r="C17" s="9" t="s">
        <v>18</v>
      </c>
      <c r="D17" s="9" t="s">
        <v>284</v>
      </c>
      <c r="E17" s="9" t="s">
        <v>285</v>
      </c>
      <c r="F17" s="9" t="s">
        <v>287</v>
      </c>
      <c r="G17" s="9" t="s">
        <v>285</v>
      </c>
      <c r="H17" s="9" t="s">
        <v>288</v>
      </c>
      <c r="I17" s="9" t="s">
        <v>289</v>
      </c>
      <c r="J17" s="8" t="s">
        <v>63</v>
      </c>
      <c r="K17" s="9" t="s">
        <v>293</v>
      </c>
      <c r="L17" s="9" t="s">
        <v>294</v>
      </c>
      <c r="M17" s="9" t="s">
        <v>291</v>
      </c>
      <c r="N17" s="8" t="s">
        <v>14</v>
      </c>
      <c r="O17" s="3"/>
      <c r="P17" s="3"/>
      <c r="Q17" s="3"/>
      <c r="R17" s="3"/>
      <c r="S17" s="3"/>
      <c r="T17" s="3"/>
      <c r="U17" s="3"/>
      <c r="V17" s="3"/>
      <c r="W17" s="3"/>
      <c r="X17" s="3"/>
      <c r="Y17" s="3"/>
    </row>
    <row r="18" customFormat="false" ht="45.75" hidden="false" customHeight="true" outlineLevel="0" collapsed="false">
      <c r="A18" s="8" t="s">
        <v>24</v>
      </c>
      <c r="B18" s="8" t="s">
        <v>283</v>
      </c>
      <c r="C18" s="9" t="s">
        <v>18</v>
      </c>
      <c r="D18" s="9" t="s">
        <v>296</v>
      </c>
      <c r="E18" s="9" t="s">
        <v>297</v>
      </c>
      <c r="F18" s="9" t="s">
        <v>299</v>
      </c>
      <c r="G18" s="9" t="s">
        <v>300</v>
      </c>
      <c r="H18" s="9" t="s">
        <v>301</v>
      </c>
      <c r="I18" s="9"/>
      <c r="J18" s="8" t="s">
        <v>63</v>
      </c>
      <c r="K18" s="9" t="s">
        <v>305</v>
      </c>
      <c r="L18" s="9" t="s">
        <v>306</v>
      </c>
      <c r="M18" s="9" t="s">
        <v>303</v>
      </c>
      <c r="N18" s="8" t="s">
        <v>95</v>
      </c>
      <c r="O18" s="3"/>
      <c r="P18" s="3"/>
      <c r="Q18" s="3"/>
      <c r="R18" s="3"/>
      <c r="S18" s="3"/>
      <c r="T18" s="3"/>
      <c r="U18" s="3"/>
      <c r="V18" s="3"/>
      <c r="W18" s="3"/>
      <c r="X18" s="3"/>
      <c r="Y18" s="3"/>
    </row>
    <row r="19" customFormat="false" ht="57" hidden="false" customHeight="true" outlineLevel="0" collapsed="false">
      <c r="A19" s="8" t="s">
        <v>24</v>
      </c>
      <c r="B19" s="8" t="s">
        <v>283</v>
      </c>
      <c r="C19" s="9" t="s">
        <v>18</v>
      </c>
      <c r="D19" s="9" t="s">
        <v>296</v>
      </c>
      <c r="E19" s="9" t="s">
        <v>308</v>
      </c>
      <c r="F19" s="9" t="s">
        <v>310</v>
      </c>
      <c r="G19" s="9" t="s">
        <v>311</v>
      </c>
      <c r="H19" s="9" t="s">
        <v>301</v>
      </c>
      <c r="I19" s="9"/>
      <c r="J19" s="8" t="s">
        <v>129</v>
      </c>
      <c r="K19" s="9" t="s">
        <v>314</v>
      </c>
      <c r="L19" s="9" t="s">
        <v>315</v>
      </c>
      <c r="M19" s="9" t="s">
        <v>312</v>
      </c>
      <c r="N19" s="8" t="s">
        <v>95</v>
      </c>
      <c r="O19" s="3"/>
      <c r="P19" s="3"/>
      <c r="Q19" s="3"/>
      <c r="R19" s="3"/>
      <c r="S19" s="3"/>
      <c r="T19" s="3"/>
      <c r="U19" s="3"/>
      <c r="V19" s="3"/>
      <c r="W19" s="3"/>
      <c r="X19" s="3"/>
      <c r="Y19" s="3"/>
    </row>
    <row r="20" customFormat="false" ht="45.75" hidden="false" customHeight="true" outlineLevel="0" collapsed="false">
      <c r="A20" s="8" t="s">
        <v>24</v>
      </c>
      <c r="B20" s="8" t="s">
        <v>283</v>
      </c>
      <c r="C20" s="9" t="s">
        <v>53</v>
      </c>
      <c r="D20" s="9" t="s">
        <v>316</v>
      </c>
      <c r="E20" s="9" t="s">
        <v>317</v>
      </c>
      <c r="F20" s="9" t="s">
        <v>319</v>
      </c>
      <c r="G20" s="9" t="s">
        <v>320</v>
      </c>
      <c r="H20" s="9" t="s">
        <v>321</v>
      </c>
      <c r="I20" s="9"/>
      <c r="J20" s="8" t="s">
        <v>63</v>
      </c>
      <c r="K20" s="9" t="s">
        <v>324</v>
      </c>
      <c r="L20" s="9" t="s">
        <v>325</v>
      </c>
      <c r="M20" s="9" t="s">
        <v>322</v>
      </c>
      <c r="N20" s="8" t="s">
        <v>14</v>
      </c>
      <c r="O20" s="3"/>
      <c r="P20" s="3"/>
      <c r="Q20" s="3"/>
      <c r="R20" s="3"/>
      <c r="S20" s="3"/>
      <c r="T20" s="3"/>
      <c r="U20" s="3"/>
      <c r="V20" s="3"/>
      <c r="W20" s="3"/>
      <c r="X20" s="3"/>
      <c r="Y20" s="3"/>
    </row>
    <row r="21" customFormat="false" ht="57" hidden="false" customHeight="true" outlineLevel="0" collapsed="false">
      <c r="A21" s="8" t="s">
        <v>24</v>
      </c>
      <c r="B21" s="8" t="s">
        <v>327</v>
      </c>
      <c r="C21" s="9" t="s">
        <v>191</v>
      </c>
      <c r="D21" s="9" t="s">
        <v>329</v>
      </c>
      <c r="E21" s="9" t="s">
        <v>330</v>
      </c>
      <c r="F21" s="9" t="s">
        <v>332</v>
      </c>
      <c r="G21" s="9" t="s">
        <v>330</v>
      </c>
      <c r="H21" s="9" t="s">
        <v>333</v>
      </c>
      <c r="I21" s="9" t="s">
        <v>334</v>
      </c>
      <c r="J21" s="8" t="s">
        <v>63</v>
      </c>
      <c r="K21" s="9" t="s">
        <v>337</v>
      </c>
      <c r="L21" s="9" t="s">
        <v>338</v>
      </c>
      <c r="M21" s="9" t="s">
        <v>335</v>
      </c>
      <c r="N21" s="8" t="s">
        <v>14</v>
      </c>
      <c r="O21" s="3"/>
      <c r="P21" s="3"/>
      <c r="Q21" s="3"/>
      <c r="R21" s="3"/>
      <c r="S21" s="3"/>
      <c r="T21" s="3"/>
      <c r="U21" s="3"/>
      <c r="V21" s="3"/>
      <c r="W21" s="3"/>
      <c r="X21" s="3"/>
      <c r="Y21" s="3"/>
    </row>
    <row r="22" customFormat="false" ht="45.75" hidden="false" customHeight="true" outlineLevel="0" collapsed="false">
      <c r="A22" s="8" t="s">
        <v>24</v>
      </c>
      <c r="B22" s="8" t="s">
        <v>327</v>
      </c>
      <c r="C22" s="9" t="s">
        <v>53</v>
      </c>
      <c r="D22" s="9" t="s">
        <v>340</v>
      </c>
      <c r="E22" s="9" t="s">
        <v>341</v>
      </c>
      <c r="F22" s="9" t="s">
        <v>343</v>
      </c>
      <c r="G22" s="9" t="s">
        <v>344</v>
      </c>
      <c r="H22" s="9" t="s">
        <v>345</v>
      </c>
      <c r="I22" s="9"/>
      <c r="J22" s="8" t="s">
        <v>63</v>
      </c>
      <c r="K22" s="9" t="s">
        <v>347</v>
      </c>
      <c r="L22" s="9" t="s">
        <v>348</v>
      </c>
      <c r="M22" s="9" t="s">
        <v>346</v>
      </c>
      <c r="N22" s="8" t="s">
        <v>95</v>
      </c>
      <c r="O22" s="3"/>
      <c r="P22" s="3"/>
      <c r="Q22" s="3"/>
      <c r="R22" s="3"/>
      <c r="S22" s="3"/>
      <c r="T22" s="3"/>
      <c r="U22" s="3"/>
      <c r="V22" s="3"/>
      <c r="W22" s="3"/>
      <c r="X22" s="3"/>
      <c r="Y22" s="3"/>
    </row>
    <row r="23" customFormat="false" ht="45.75" hidden="false" customHeight="true" outlineLevel="0" collapsed="false">
      <c r="A23" s="8" t="s">
        <v>24</v>
      </c>
      <c r="B23" s="8" t="s">
        <v>327</v>
      </c>
      <c r="C23" s="9" t="s">
        <v>53</v>
      </c>
      <c r="D23" s="9" t="s">
        <v>340</v>
      </c>
      <c r="E23" s="9" t="s">
        <v>350</v>
      </c>
      <c r="F23" s="9" t="s">
        <v>352</v>
      </c>
      <c r="G23" s="9" t="s">
        <v>353</v>
      </c>
      <c r="H23" s="9" t="s">
        <v>354</v>
      </c>
      <c r="I23" s="9" t="s">
        <v>334</v>
      </c>
      <c r="J23" s="8" t="s">
        <v>63</v>
      </c>
      <c r="K23" s="9" t="s">
        <v>356</v>
      </c>
      <c r="L23" s="9" t="s">
        <v>357</v>
      </c>
      <c r="M23" s="9" t="s">
        <v>336</v>
      </c>
      <c r="N23" s="8" t="s">
        <v>95</v>
      </c>
      <c r="O23" s="3"/>
      <c r="P23" s="3"/>
      <c r="Q23" s="3"/>
      <c r="R23" s="3"/>
      <c r="S23" s="3"/>
      <c r="T23" s="3"/>
      <c r="U23" s="3"/>
      <c r="V23" s="3"/>
      <c r="W23" s="3"/>
      <c r="X23" s="3"/>
      <c r="Y23" s="3"/>
    </row>
    <row r="24" customFormat="false" ht="45.75" hidden="false" customHeight="true" outlineLevel="0" collapsed="false">
      <c r="A24" s="8" t="s">
        <v>24</v>
      </c>
      <c r="B24" s="8" t="s">
        <v>283</v>
      </c>
      <c r="C24" s="9" t="s">
        <v>15</v>
      </c>
      <c r="D24" s="9" t="s">
        <v>358</v>
      </c>
      <c r="E24" s="9" t="s">
        <v>359</v>
      </c>
      <c r="F24" s="9" t="s">
        <v>361</v>
      </c>
      <c r="G24" s="9" t="s">
        <v>362</v>
      </c>
      <c r="H24" s="9" t="s">
        <v>363</v>
      </c>
      <c r="I24" s="9" t="s">
        <v>364</v>
      </c>
      <c r="J24" s="8" t="s">
        <v>63</v>
      </c>
      <c r="K24" s="9" t="s">
        <v>367</v>
      </c>
      <c r="L24" s="9" t="s">
        <v>368</v>
      </c>
      <c r="M24" s="9" t="s">
        <v>366</v>
      </c>
      <c r="N24" s="8" t="s">
        <v>14</v>
      </c>
      <c r="O24" s="3"/>
      <c r="P24" s="3"/>
      <c r="Q24" s="3"/>
      <c r="R24" s="3"/>
      <c r="S24" s="3"/>
      <c r="T24" s="3"/>
      <c r="U24" s="3"/>
      <c r="V24" s="3"/>
      <c r="W24" s="3"/>
      <c r="X24" s="3"/>
      <c r="Y24" s="3"/>
    </row>
    <row r="25" customFormat="false" ht="45.75" hidden="false" customHeight="true" outlineLevel="0" collapsed="false">
      <c r="A25" s="8" t="s">
        <v>24</v>
      </c>
      <c r="B25" s="8" t="s">
        <v>327</v>
      </c>
      <c r="C25" s="9" t="s">
        <v>191</v>
      </c>
      <c r="D25" s="9" t="s">
        <v>371</v>
      </c>
      <c r="E25" s="9" t="s">
        <v>372</v>
      </c>
      <c r="F25" s="9" t="s">
        <v>374</v>
      </c>
      <c r="G25" s="9" t="s">
        <v>375</v>
      </c>
      <c r="H25" s="9" t="s">
        <v>376</v>
      </c>
      <c r="I25" s="9"/>
      <c r="J25" s="8" t="s">
        <v>63</v>
      </c>
      <c r="K25" s="9" t="s">
        <v>378</v>
      </c>
      <c r="L25" s="9" t="s">
        <v>379</v>
      </c>
      <c r="M25" s="9" t="s">
        <v>377</v>
      </c>
      <c r="N25" s="8" t="s">
        <v>68</v>
      </c>
      <c r="O25" s="3"/>
      <c r="P25" s="3"/>
      <c r="Q25" s="3"/>
      <c r="R25" s="3"/>
      <c r="S25" s="3"/>
      <c r="T25" s="3"/>
      <c r="U25" s="3"/>
      <c r="V25" s="3"/>
      <c r="W25" s="3"/>
      <c r="X25" s="3"/>
      <c r="Y25" s="3"/>
    </row>
    <row r="26" customFormat="false" ht="45.75" hidden="false" customHeight="true" outlineLevel="0" collapsed="false">
      <c r="A26" s="8" t="s">
        <v>24</v>
      </c>
      <c r="B26" s="8" t="s">
        <v>380</v>
      </c>
      <c r="C26" s="9" t="s">
        <v>191</v>
      </c>
      <c r="D26" s="9" t="s">
        <v>382</v>
      </c>
      <c r="E26" s="9" t="s">
        <v>359</v>
      </c>
      <c r="F26" s="9" t="s">
        <v>384</v>
      </c>
      <c r="G26" s="9" t="s">
        <v>385</v>
      </c>
      <c r="H26" s="9" t="s">
        <v>386</v>
      </c>
      <c r="I26" s="9"/>
      <c r="J26" s="8" t="s">
        <v>129</v>
      </c>
      <c r="K26" s="9" t="s">
        <v>367</v>
      </c>
      <c r="L26" s="9" t="s">
        <v>389</v>
      </c>
      <c r="M26" s="9" t="s">
        <v>387</v>
      </c>
      <c r="N26" s="8" t="s">
        <v>95</v>
      </c>
      <c r="O26" s="3"/>
      <c r="P26" s="3"/>
      <c r="Q26" s="3"/>
      <c r="R26" s="3"/>
      <c r="S26" s="3"/>
      <c r="T26" s="3"/>
      <c r="U26" s="3"/>
      <c r="V26" s="3"/>
      <c r="W26" s="3"/>
      <c r="X26" s="3"/>
      <c r="Y26" s="3"/>
    </row>
    <row r="27" customFormat="false" ht="57" hidden="false" customHeight="true" outlineLevel="0" collapsed="false">
      <c r="A27" s="8" t="s">
        <v>24</v>
      </c>
      <c r="B27" s="8" t="s">
        <v>283</v>
      </c>
      <c r="C27" s="9" t="s">
        <v>15</v>
      </c>
      <c r="D27" s="9" t="s">
        <v>391</v>
      </c>
      <c r="E27" s="9" t="s">
        <v>392</v>
      </c>
      <c r="F27" s="9" t="s">
        <v>394</v>
      </c>
      <c r="G27" s="9" t="s">
        <v>395</v>
      </c>
      <c r="H27" s="9" t="s">
        <v>396</v>
      </c>
      <c r="I27" s="9"/>
      <c r="J27" s="8" t="s">
        <v>63</v>
      </c>
      <c r="K27" s="9" t="s">
        <v>400</v>
      </c>
      <c r="L27" s="9" t="s">
        <v>401</v>
      </c>
      <c r="M27" s="9" t="s">
        <v>398</v>
      </c>
      <c r="N27" s="8" t="s">
        <v>95</v>
      </c>
      <c r="O27" s="3"/>
      <c r="P27" s="3"/>
      <c r="Q27" s="3"/>
      <c r="R27" s="3"/>
      <c r="S27" s="3"/>
      <c r="T27" s="3"/>
      <c r="U27" s="3"/>
      <c r="V27" s="3"/>
      <c r="W27" s="3"/>
      <c r="X27" s="3"/>
      <c r="Y27" s="3"/>
    </row>
    <row r="28" customFormat="false" ht="34.5" hidden="false" customHeight="true" outlineLevel="0" collapsed="false">
      <c r="A28" s="8" t="s">
        <v>24</v>
      </c>
      <c r="B28" s="8" t="s">
        <v>283</v>
      </c>
      <c r="C28" s="9" t="s">
        <v>53</v>
      </c>
      <c r="D28" s="9" t="s">
        <v>391</v>
      </c>
      <c r="E28" s="9" t="s">
        <v>403</v>
      </c>
      <c r="F28" s="9" t="s">
        <v>405</v>
      </c>
      <c r="G28" s="9" t="s">
        <v>344</v>
      </c>
      <c r="H28" s="9" t="s">
        <v>406</v>
      </c>
      <c r="I28" s="9"/>
      <c r="J28" s="8" t="s">
        <v>63</v>
      </c>
      <c r="K28" s="9" t="s">
        <v>409</v>
      </c>
      <c r="L28" s="9" t="s">
        <v>410</v>
      </c>
      <c r="M28" s="9" t="s">
        <v>408</v>
      </c>
      <c r="N28" s="8" t="s">
        <v>14</v>
      </c>
      <c r="O28" s="3"/>
      <c r="P28" s="3"/>
      <c r="Q28" s="3"/>
      <c r="R28" s="3"/>
      <c r="S28" s="3"/>
      <c r="T28" s="3"/>
      <c r="U28" s="3"/>
      <c r="V28" s="3"/>
      <c r="W28" s="3"/>
      <c r="X28" s="3"/>
      <c r="Y28" s="3"/>
    </row>
    <row r="29" customFormat="false" ht="45.75" hidden="false" customHeight="true" outlineLevel="0" collapsed="false">
      <c r="A29" s="8" t="s">
        <v>24</v>
      </c>
      <c r="B29" s="8" t="s">
        <v>283</v>
      </c>
      <c r="C29" s="9" t="s">
        <v>15</v>
      </c>
      <c r="D29" s="9" t="s">
        <v>420</v>
      </c>
      <c r="E29" s="9" t="s">
        <v>421</v>
      </c>
      <c r="F29" s="9" t="s">
        <v>423</v>
      </c>
      <c r="G29" s="9" t="s">
        <v>424</v>
      </c>
      <c r="H29" s="9" t="s">
        <v>425</v>
      </c>
      <c r="I29" s="9"/>
      <c r="J29" s="8" t="s">
        <v>280</v>
      </c>
      <c r="K29" s="9" t="s">
        <v>427</v>
      </c>
      <c r="L29" s="9" t="s">
        <v>428</v>
      </c>
      <c r="M29" s="9" t="s">
        <v>426</v>
      </c>
      <c r="N29" s="8" t="s">
        <v>14</v>
      </c>
      <c r="O29" s="3"/>
      <c r="P29" s="3"/>
      <c r="Q29" s="3"/>
      <c r="R29" s="3"/>
      <c r="S29" s="3"/>
      <c r="T29" s="3"/>
      <c r="U29" s="3"/>
      <c r="V29" s="3"/>
      <c r="W29" s="3"/>
      <c r="X29" s="3"/>
      <c r="Y29" s="3"/>
    </row>
    <row r="30" customFormat="false" ht="57" hidden="false" customHeight="true" outlineLevel="0" collapsed="false">
      <c r="A30" s="8" t="s">
        <v>25</v>
      </c>
      <c r="B30" s="8" t="s">
        <v>447</v>
      </c>
      <c r="C30" s="9" t="s">
        <v>18</v>
      </c>
      <c r="D30" s="9" t="s">
        <v>448</v>
      </c>
      <c r="E30" s="9" t="s">
        <v>449</v>
      </c>
      <c r="F30" s="9" t="s">
        <v>451</v>
      </c>
      <c r="G30" s="9" t="s">
        <v>452</v>
      </c>
      <c r="H30" s="9" t="s">
        <v>453</v>
      </c>
      <c r="I30" s="9" t="s">
        <v>454</v>
      </c>
      <c r="J30" s="8" t="s">
        <v>63</v>
      </c>
      <c r="K30" s="9" t="s">
        <v>458</v>
      </c>
      <c r="L30" s="9" t="s">
        <v>459</v>
      </c>
      <c r="M30" s="9" t="s">
        <v>456</v>
      </c>
      <c r="N30" s="8" t="s">
        <v>14</v>
      </c>
      <c r="O30" s="3"/>
      <c r="P30" s="3"/>
      <c r="Q30" s="3"/>
      <c r="R30" s="3"/>
      <c r="S30" s="3"/>
      <c r="T30" s="3"/>
      <c r="U30" s="3"/>
      <c r="V30" s="3"/>
      <c r="W30" s="3"/>
      <c r="X30" s="3"/>
      <c r="Y30" s="3"/>
    </row>
    <row r="31" customFormat="false" ht="45.75" hidden="false" customHeight="true" outlineLevel="0" collapsed="false">
      <c r="A31" s="8" t="s">
        <v>25</v>
      </c>
      <c r="B31" s="8" t="s">
        <v>447</v>
      </c>
      <c r="C31" s="9" t="s">
        <v>18</v>
      </c>
      <c r="D31" s="9" t="s">
        <v>461</v>
      </c>
      <c r="E31" s="9" t="s">
        <v>462</v>
      </c>
      <c r="F31" s="9" t="s">
        <v>464</v>
      </c>
      <c r="G31" s="9" t="s">
        <v>465</v>
      </c>
      <c r="H31" s="9" t="s">
        <v>466</v>
      </c>
      <c r="I31" s="9"/>
      <c r="J31" s="8" t="s">
        <v>63</v>
      </c>
      <c r="K31" s="9" t="s">
        <v>470</v>
      </c>
      <c r="L31" s="9" t="s">
        <v>471</v>
      </c>
      <c r="M31" s="9" t="s">
        <v>468</v>
      </c>
      <c r="N31" s="8" t="s">
        <v>14</v>
      </c>
      <c r="O31" s="3"/>
      <c r="P31" s="3"/>
      <c r="Q31" s="3"/>
      <c r="R31" s="3"/>
      <c r="S31" s="3"/>
      <c r="T31" s="3"/>
      <c r="U31" s="3"/>
      <c r="V31" s="3"/>
      <c r="W31" s="3"/>
      <c r="X31" s="3"/>
      <c r="Y31" s="3"/>
    </row>
    <row r="32" customFormat="false" ht="45.75" hidden="false" customHeight="true" outlineLevel="0" collapsed="false">
      <c r="A32" s="8" t="s">
        <v>25</v>
      </c>
      <c r="B32" s="8" t="s">
        <v>447</v>
      </c>
      <c r="C32" s="9" t="s">
        <v>53</v>
      </c>
      <c r="D32" s="9" t="s">
        <v>473</v>
      </c>
      <c r="E32" s="9" t="s">
        <v>474</v>
      </c>
      <c r="F32" s="9" t="s">
        <v>476</v>
      </c>
      <c r="G32" s="9" t="s">
        <v>477</v>
      </c>
      <c r="H32" s="9" t="s">
        <v>478</v>
      </c>
      <c r="I32" s="9"/>
      <c r="J32" s="8" t="s">
        <v>63</v>
      </c>
      <c r="K32" s="9" t="s">
        <v>482</v>
      </c>
      <c r="L32" s="9" t="s">
        <v>483</v>
      </c>
      <c r="M32" s="9" t="s">
        <v>480</v>
      </c>
      <c r="N32" s="8" t="s">
        <v>14</v>
      </c>
      <c r="O32" s="3"/>
      <c r="P32" s="3"/>
      <c r="Q32" s="3"/>
      <c r="R32" s="3"/>
      <c r="S32" s="3"/>
      <c r="T32" s="3"/>
      <c r="U32" s="3"/>
      <c r="V32" s="3"/>
      <c r="W32" s="3"/>
      <c r="X32" s="3"/>
      <c r="Y32" s="3"/>
    </row>
    <row r="33" customFormat="false" ht="45.75" hidden="false" customHeight="true" outlineLevel="0" collapsed="false">
      <c r="A33" s="8" t="s">
        <v>25</v>
      </c>
      <c r="B33" s="8" t="s">
        <v>447</v>
      </c>
      <c r="C33" s="9" t="s">
        <v>18</v>
      </c>
      <c r="D33" s="9" t="s">
        <v>485</v>
      </c>
      <c r="E33" s="9" t="s">
        <v>486</v>
      </c>
      <c r="F33" s="9" t="s">
        <v>488</v>
      </c>
      <c r="G33" s="9" t="s">
        <v>442</v>
      </c>
      <c r="H33" s="9" t="s">
        <v>489</v>
      </c>
      <c r="I33" s="9"/>
      <c r="J33" s="8" t="s">
        <v>63</v>
      </c>
      <c r="K33" s="9" t="s">
        <v>492</v>
      </c>
      <c r="L33" s="9" t="s">
        <v>493</v>
      </c>
      <c r="M33" s="9" t="s">
        <v>490</v>
      </c>
      <c r="N33" s="8" t="s">
        <v>14</v>
      </c>
      <c r="O33" s="3"/>
      <c r="P33" s="3"/>
      <c r="Q33" s="3"/>
      <c r="R33" s="3"/>
      <c r="S33" s="3"/>
      <c r="T33" s="3"/>
      <c r="U33" s="3"/>
      <c r="V33" s="3"/>
      <c r="W33" s="3"/>
      <c r="X33" s="3"/>
      <c r="Y33" s="3"/>
    </row>
    <row r="34" customFormat="false" ht="57" hidden="false" customHeight="true" outlineLevel="0" collapsed="false">
      <c r="A34" s="8" t="s">
        <v>25</v>
      </c>
      <c r="B34" s="8" t="s">
        <v>447</v>
      </c>
      <c r="C34" s="9" t="s">
        <v>191</v>
      </c>
      <c r="D34" s="9" t="s">
        <v>495</v>
      </c>
      <c r="E34" s="9" t="s">
        <v>496</v>
      </c>
      <c r="F34" s="9" t="s">
        <v>498</v>
      </c>
      <c r="G34" s="9" t="s">
        <v>499</v>
      </c>
      <c r="H34" s="9" t="s">
        <v>500</v>
      </c>
      <c r="I34" s="9" t="s">
        <v>501</v>
      </c>
      <c r="J34" s="8" t="s">
        <v>63</v>
      </c>
      <c r="K34" s="9" t="s">
        <v>505</v>
      </c>
      <c r="L34" s="9" t="s">
        <v>506</v>
      </c>
      <c r="M34" s="9" t="s">
        <v>503</v>
      </c>
      <c r="N34" s="8" t="s">
        <v>14</v>
      </c>
      <c r="O34" s="3"/>
      <c r="P34" s="3"/>
      <c r="Q34" s="3"/>
      <c r="R34" s="3"/>
      <c r="S34" s="3"/>
      <c r="T34" s="3"/>
      <c r="U34" s="3"/>
      <c r="V34" s="3"/>
      <c r="W34" s="3"/>
      <c r="X34" s="3"/>
      <c r="Y34" s="3"/>
    </row>
    <row r="35" customFormat="false" ht="34.5" hidden="false" customHeight="true" outlineLevel="0" collapsed="false">
      <c r="A35" s="8" t="s">
        <v>25</v>
      </c>
      <c r="B35" s="8" t="s">
        <v>447</v>
      </c>
      <c r="C35" s="9" t="s">
        <v>53</v>
      </c>
      <c r="D35" s="9" t="s">
        <v>508</v>
      </c>
      <c r="E35" s="9" t="s">
        <v>509</v>
      </c>
      <c r="F35" s="9" t="s">
        <v>511</v>
      </c>
      <c r="G35" s="9" t="s">
        <v>512</v>
      </c>
      <c r="H35" s="9" t="s">
        <v>513</v>
      </c>
      <c r="I35" s="9"/>
      <c r="J35" s="8" t="s">
        <v>63</v>
      </c>
      <c r="K35" s="9" t="s">
        <v>515</v>
      </c>
      <c r="L35" s="9" t="s">
        <v>516</v>
      </c>
      <c r="M35" s="9" t="s">
        <v>514</v>
      </c>
      <c r="N35" s="8" t="s">
        <v>14</v>
      </c>
      <c r="O35" s="3"/>
      <c r="P35" s="3"/>
      <c r="Q35" s="3"/>
      <c r="R35" s="3"/>
      <c r="S35" s="3"/>
      <c r="T35" s="3"/>
      <c r="U35" s="3"/>
      <c r="V35" s="3"/>
      <c r="W35" s="3"/>
      <c r="X35" s="3"/>
      <c r="Y35" s="3"/>
    </row>
    <row r="36" customFormat="false" ht="45.75" hidden="false" customHeight="true" outlineLevel="0" collapsed="false">
      <c r="A36" s="8" t="s">
        <v>25</v>
      </c>
      <c r="B36" s="8" t="s">
        <v>518</v>
      </c>
      <c r="C36" s="9" t="s">
        <v>191</v>
      </c>
      <c r="D36" s="9" t="s">
        <v>520</v>
      </c>
      <c r="E36" s="9" t="s">
        <v>521</v>
      </c>
      <c r="F36" s="9" t="s">
        <v>523</v>
      </c>
      <c r="G36" s="9" t="s">
        <v>521</v>
      </c>
      <c r="H36" s="9" t="s">
        <v>524</v>
      </c>
      <c r="I36" s="9" t="s">
        <v>525</v>
      </c>
      <c r="J36" s="8" t="s">
        <v>63</v>
      </c>
      <c r="K36" s="9" t="s">
        <v>527</v>
      </c>
      <c r="L36" s="9" t="s">
        <v>528</v>
      </c>
      <c r="M36" s="9" t="s">
        <v>526</v>
      </c>
      <c r="N36" s="8" t="s">
        <v>14</v>
      </c>
      <c r="O36" s="3"/>
      <c r="P36" s="3"/>
      <c r="Q36" s="3"/>
      <c r="R36" s="3"/>
      <c r="S36" s="3"/>
      <c r="T36" s="3"/>
      <c r="U36" s="3"/>
      <c r="V36" s="3"/>
      <c r="W36" s="3"/>
      <c r="X36" s="3"/>
      <c r="Y36" s="3"/>
    </row>
    <row r="37" customFormat="false" ht="45.75" hidden="false" customHeight="true" outlineLevel="0" collapsed="false">
      <c r="A37" s="8" t="s">
        <v>25</v>
      </c>
      <c r="B37" s="8" t="s">
        <v>447</v>
      </c>
      <c r="C37" s="9" t="s">
        <v>191</v>
      </c>
      <c r="D37" s="9" t="s">
        <v>530</v>
      </c>
      <c r="E37" s="9" t="s">
        <v>531</v>
      </c>
      <c r="F37" s="9" t="s">
        <v>533</v>
      </c>
      <c r="G37" s="9" t="s">
        <v>534</v>
      </c>
      <c r="H37" s="9" t="s">
        <v>535</v>
      </c>
      <c r="I37" s="9"/>
      <c r="J37" s="8" t="s">
        <v>129</v>
      </c>
      <c r="K37" s="9" t="s">
        <v>537</v>
      </c>
      <c r="L37" s="9" t="s">
        <v>538</v>
      </c>
      <c r="M37" s="9" t="s">
        <v>536</v>
      </c>
      <c r="N37" s="8" t="s">
        <v>95</v>
      </c>
      <c r="O37" s="3"/>
      <c r="P37" s="3"/>
      <c r="Q37" s="3"/>
      <c r="R37" s="3"/>
      <c r="S37" s="3"/>
      <c r="T37" s="3"/>
      <c r="U37" s="3"/>
      <c r="V37" s="3"/>
      <c r="W37" s="3"/>
      <c r="X37" s="3"/>
      <c r="Y37" s="3"/>
    </row>
    <row r="38" customFormat="false" ht="57" hidden="false" customHeight="true" outlineLevel="0" collapsed="false">
      <c r="A38" s="8" t="s">
        <v>25</v>
      </c>
      <c r="B38" s="8" t="s">
        <v>447</v>
      </c>
      <c r="C38" s="9" t="s">
        <v>15</v>
      </c>
      <c r="D38" s="9" t="s">
        <v>540</v>
      </c>
      <c r="E38" s="9" t="s">
        <v>541</v>
      </c>
      <c r="F38" s="9" t="s">
        <v>543</v>
      </c>
      <c r="G38" s="9" t="s">
        <v>544</v>
      </c>
      <c r="H38" s="9" t="s">
        <v>545</v>
      </c>
      <c r="I38" s="9"/>
      <c r="J38" s="8" t="s">
        <v>129</v>
      </c>
      <c r="K38" s="9" t="s">
        <v>549</v>
      </c>
      <c r="L38" s="9" t="s">
        <v>550</v>
      </c>
      <c r="M38" s="9" t="s">
        <v>547</v>
      </c>
      <c r="N38" s="8" t="s">
        <v>95</v>
      </c>
      <c r="O38" s="3"/>
      <c r="P38" s="3"/>
      <c r="Q38" s="3"/>
      <c r="R38" s="3"/>
      <c r="S38" s="3"/>
      <c r="T38" s="3"/>
      <c r="U38" s="3"/>
      <c r="V38" s="3"/>
      <c r="W38" s="3"/>
      <c r="X38" s="3"/>
      <c r="Y38" s="3"/>
    </row>
    <row r="39" customFormat="false" ht="45.75" hidden="false" customHeight="true" outlineLevel="0" collapsed="false">
      <c r="A39" s="8" t="s">
        <v>25</v>
      </c>
      <c r="B39" s="8" t="s">
        <v>447</v>
      </c>
      <c r="C39" s="9" t="s">
        <v>15</v>
      </c>
      <c r="D39" s="9" t="s">
        <v>552</v>
      </c>
      <c r="E39" s="9" t="s">
        <v>553</v>
      </c>
      <c r="F39" s="9" t="s">
        <v>555</v>
      </c>
      <c r="G39" s="9" t="s">
        <v>556</v>
      </c>
      <c r="H39" s="9" t="s">
        <v>557</v>
      </c>
      <c r="I39" s="9" t="s">
        <v>558</v>
      </c>
      <c r="J39" s="8" t="s">
        <v>129</v>
      </c>
      <c r="K39" s="9" t="s">
        <v>561</v>
      </c>
      <c r="L39" s="9" t="s">
        <v>562</v>
      </c>
      <c r="M39" s="9" t="s">
        <v>559</v>
      </c>
      <c r="N39" s="8" t="s">
        <v>95</v>
      </c>
      <c r="O39" s="3"/>
      <c r="P39" s="3"/>
      <c r="Q39" s="3"/>
      <c r="R39" s="3"/>
      <c r="S39" s="3"/>
      <c r="T39" s="3"/>
      <c r="U39" s="3"/>
      <c r="V39" s="3"/>
      <c r="W39" s="3"/>
      <c r="X39" s="3"/>
      <c r="Y39" s="3"/>
    </row>
    <row r="40" customFormat="false" ht="57" hidden="false" customHeight="true" outlineLevel="0" collapsed="false">
      <c r="A40" s="8" t="s">
        <v>25</v>
      </c>
      <c r="B40" s="8" t="s">
        <v>564</v>
      </c>
      <c r="C40" s="9" t="s">
        <v>191</v>
      </c>
      <c r="D40" s="9" t="s">
        <v>566</v>
      </c>
      <c r="E40" s="9" t="s">
        <v>567</v>
      </c>
      <c r="F40" s="9" t="s">
        <v>569</v>
      </c>
      <c r="G40" s="9" t="s">
        <v>570</v>
      </c>
      <c r="H40" s="9" t="s">
        <v>571</v>
      </c>
      <c r="I40" s="9"/>
      <c r="J40" s="8" t="s">
        <v>280</v>
      </c>
      <c r="K40" s="9" t="s">
        <v>573</v>
      </c>
      <c r="L40" s="9" t="s">
        <v>574</v>
      </c>
      <c r="M40" s="9" t="s">
        <v>572</v>
      </c>
      <c r="N40" s="8" t="s">
        <v>95</v>
      </c>
      <c r="O40" s="3"/>
      <c r="P40" s="3"/>
      <c r="Q40" s="3"/>
      <c r="R40" s="3"/>
      <c r="S40" s="3"/>
      <c r="T40" s="3"/>
      <c r="U40" s="3"/>
      <c r="V40" s="3"/>
      <c r="W40" s="3"/>
      <c r="X40" s="3"/>
      <c r="Y40" s="3"/>
    </row>
    <row r="41" customFormat="false" ht="57" hidden="false" customHeight="true" outlineLevel="0" collapsed="false">
      <c r="A41" s="8" t="s">
        <v>26</v>
      </c>
      <c r="B41" s="8" t="s">
        <v>576</v>
      </c>
      <c r="C41" s="9" t="s">
        <v>18</v>
      </c>
      <c r="D41" s="9" t="s">
        <v>578</v>
      </c>
      <c r="E41" s="9" t="s">
        <v>579</v>
      </c>
      <c r="F41" s="9" t="s">
        <v>581</v>
      </c>
      <c r="G41" s="9" t="s">
        <v>582</v>
      </c>
      <c r="H41" s="9" t="s">
        <v>583</v>
      </c>
      <c r="I41" s="9"/>
      <c r="J41" s="8" t="s">
        <v>63</v>
      </c>
      <c r="K41" s="9" t="s">
        <v>587</v>
      </c>
      <c r="L41" s="9" t="s">
        <v>588</v>
      </c>
      <c r="M41" s="9" t="s">
        <v>585</v>
      </c>
      <c r="N41" s="8" t="s">
        <v>14</v>
      </c>
      <c r="O41" s="3"/>
      <c r="P41" s="3"/>
      <c r="Q41" s="3"/>
      <c r="R41" s="3"/>
      <c r="S41" s="3"/>
      <c r="T41" s="3"/>
      <c r="U41" s="3"/>
      <c r="V41" s="3"/>
      <c r="W41" s="3"/>
      <c r="X41" s="3"/>
      <c r="Y41" s="3"/>
    </row>
    <row r="42" customFormat="false" ht="57" hidden="false" customHeight="true" outlineLevel="0" collapsed="false">
      <c r="A42" s="8" t="s">
        <v>26</v>
      </c>
      <c r="B42" s="8" t="s">
        <v>576</v>
      </c>
      <c r="C42" s="9" t="s">
        <v>191</v>
      </c>
      <c r="D42" s="9" t="s">
        <v>590</v>
      </c>
      <c r="E42" s="9" t="s">
        <v>591</v>
      </c>
      <c r="F42" s="9" t="s">
        <v>593</v>
      </c>
      <c r="G42" s="9" t="s">
        <v>594</v>
      </c>
      <c r="H42" s="9" t="s">
        <v>595</v>
      </c>
      <c r="I42" s="9"/>
      <c r="J42" s="8" t="s">
        <v>63</v>
      </c>
      <c r="K42" s="9" t="s">
        <v>599</v>
      </c>
      <c r="L42" s="9" t="s">
        <v>600</v>
      </c>
      <c r="M42" s="9" t="s">
        <v>597</v>
      </c>
      <c r="N42" s="8" t="s">
        <v>14</v>
      </c>
      <c r="O42" s="3"/>
      <c r="P42" s="3"/>
      <c r="Q42" s="3"/>
      <c r="R42" s="3"/>
      <c r="S42" s="3"/>
      <c r="T42" s="3"/>
      <c r="U42" s="3"/>
      <c r="V42" s="3"/>
      <c r="W42" s="3"/>
      <c r="X42" s="3"/>
      <c r="Y42" s="3"/>
    </row>
    <row r="43" customFormat="false" ht="57" hidden="false" customHeight="true" outlineLevel="0" collapsed="false">
      <c r="A43" s="8" t="s">
        <v>26</v>
      </c>
      <c r="B43" s="8" t="s">
        <v>613</v>
      </c>
      <c r="C43" s="9" t="s">
        <v>15</v>
      </c>
      <c r="D43" s="9" t="s">
        <v>615</v>
      </c>
      <c r="E43" s="9" t="s">
        <v>616</v>
      </c>
      <c r="F43" s="9" t="s">
        <v>618</v>
      </c>
      <c r="G43" s="9" t="s">
        <v>619</v>
      </c>
      <c r="H43" s="9" t="s">
        <v>620</v>
      </c>
      <c r="I43" s="9" t="s">
        <v>621</v>
      </c>
      <c r="J43" s="8" t="s">
        <v>129</v>
      </c>
      <c r="K43" s="9" t="s">
        <v>625</v>
      </c>
      <c r="L43" s="9" t="s">
        <v>626</v>
      </c>
      <c r="M43" s="9" t="s">
        <v>623</v>
      </c>
      <c r="N43" s="8" t="s">
        <v>95</v>
      </c>
      <c r="O43" s="3"/>
      <c r="P43" s="3"/>
      <c r="Q43" s="3"/>
      <c r="R43" s="3"/>
      <c r="S43" s="3"/>
      <c r="T43" s="3"/>
      <c r="U43" s="3"/>
      <c r="V43" s="3"/>
      <c r="W43" s="3"/>
      <c r="X43" s="3"/>
      <c r="Y43" s="3"/>
    </row>
    <row r="44" customFormat="false" ht="45.75" hidden="false" customHeight="true" outlineLevel="0" collapsed="false">
      <c r="A44" s="8" t="s">
        <v>26</v>
      </c>
      <c r="B44" s="8" t="s">
        <v>576</v>
      </c>
      <c r="C44" s="9" t="s">
        <v>15</v>
      </c>
      <c r="D44" s="9" t="s">
        <v>629</v>
      </c>
      <c r="E44" s="9" t="s">
        <v>630</v>
      </c>
      <c r="F44" s="9" t="s">
        <v>632</v>
      </c>
      <c r="G44" s="9" t="s">
        <v>633</v>
      </c>
      <c r="H44" s="9" t="s">
        <v>634</v>
      </c>
      <c r="I44" s="9" t="s">
        <v>635</v>
      </c>
      <c r="J44" s="8" t="s">
        <v>63</v>
      </c>
      <c r="K44" s="9" t="s">
        <v>637</v>
      </c>
      <c r="L44" s="9" t="s">
        <v>638</v>
      </c>
      <c r="M44" s="9" t="s">
        <v>636</v>
      </c>
      <c r="N44" s="8" t="s">
        <v>14</v>
      </c>
      <c r="O44" s="3"/>
      <c r="P44" s="3"/>
      <c r="Q44" s="3"/>
      <c r="R44" s="3"/>
      <c r="S44" s="3"/>
      <c r="T44" s="3"/>
      <c r="U44" s="3"/>
      <c r="V44" s="3"/>
      <c r="W44" s="3"/>
      <c r="X44" s="3"/>
      <c r="Y44" s="3"/>
    </row>
    <row r="45" customFormat="false" ht="45.75" hidden="false" customHeight="true" outlineLevel="0" collapsed="false">
      <c r="A45" s="8" t="s">
        <v>26</v>
      </c>
      <c r="B45" s="8" t="s">
        <v>576</v>
      </c>
      <c r="C45" s="9" t="s">
        <v>53</v>
      </c>
      <c r="D45" s="9" t="s">
        <v>640</v>
      </c>
      <c r="E45" s="9" t="s">
        <v>641</v>
      </c>
      <c r="F45" s="9" t="s">
        <v>643</v>
      </c>
      <c r="G45" s="9" t="s">
        <v>644</v>
      </c>
      <c r="H45" s="9" t="s">
        <v>645</v>
      </c>
      <c r="I45" s="9"/>
      <c r="J45" s="8" t="s">
        <v>63</v>
      </c>
      <c r="K45" s="9" t="s">
        <v>648</v>
      </c>
      <c r="L45" s="9" t="s">
        <v>649</v>
      </c>
      <c r="M45" s="9" t="s">
        <v>647</v>
      </c>
      <c r="N45" s="8" t="s">
        <v>68</v>
      </c>
      <c r="O45" s="3"/>
      <c r="P45" s="3"/>
      <c r="Q45" s="3"/>
      <c r="R45" s="3"/>
      <c r="S45" s="3"/>
      <c r="T45" s="3"/>
      <c r="U45" s="3"/>
      <c r="V45" s="3"/>
      <c r="W45" s="3"/>
      <c r="X45" s="3"/>
      <c r="Y45" s="3"/>
    </row>
    <row r="46" customFormat="false" ht="45.75" hidden="false" customHeight="true" outlineLevel="0" collapsed="false">
      <c r="A46" s="8" t="s">
        <v>26</v>
      </c>
      <c r="B46" s="8" t="s">
        <v>576</v>
      </c>
      <c r="C46" s="9" t="s">
        <v>53</v>
      </c>
      <c r="D46" s="9" t="s">
        <v>650</v>
      </c>
      <c r="E46" s="9" t="s">
        <v>285</v>
      </c>
      <c r="F46" s="9" t="s">
        <v>652</v>
      </c>
      <c r="G46" s="9" t="s">
        <v>126</v>
      </c>
      <c r="H46" s="9" t="s">
        <v>653</v>
      </c>
      <c r="I46" s="9"/>
      <c r="J46" s="8" t="s">
        <v>63</v>
      </c>
      <c r="K46" s="9" t="s">
        <v>657</v>
      </c>
      <c r="L46" s="9" t="s">
        <v>658</v>
      </c>
      <c r="M46" s="9" t="s">
        <v>655</v>
      </c>
      <c r="N46" s="8" t="s">
        <v>14</v>
      </c>
      <c r="O46" s="3"/>
      <c r="P46" s="3"/>
      <c r="Q46" s="3"/>
      <c r="R46" s="3"/>
      <c r="S46" s="3"/>
      <c r="T46" s="3"/>
      <c r="U46" s="3"/>
      <c r="V46" s="3"/>
      <c r="W46" s="3"/>
      <c r="X46" s="3"/>
      <c r="Y46" s="3"/>
    </row>
    <row r="47" customFormat="false" ht="57" hidden="false" customHeight="true" outlineLevel="0" collapsed="false">
      <c r="A47" s="8" t="s">
        <v>26</v>
      </c>
      <c r="B47" s="8" t="s">
        <v>576</v>
      </c>
      <c r="C47" s="9" t="s">
        <v>18</v>
      </c>
      <c r="D47" s="9" t="s">
        <v>660</v>
      </c>
      <c r="E47" s="9" t="s">
        <v>661</v>
      </c>
      <c r="F47" s="9" t="s">
        <v>663</v>
      </c>
      <c r="G47" s="9" t="s">
        <v>664</v>
      </c>
      <c r="H47" s="9" t="s">
        <v>665</v>
      </c>
      <c r="I47" s="9"/>
      <c r="J47" s="8" t="s">
        <v>63</v>
      </c>
      <c r="K47" s="9" t="s">
        <v>668</v>
      </c>
      <c r="L47" s="9" t="s">
        <v>669</v>
      </c>
      <c r="M47" s="9" t="s">
        <v>666</v>
      </c>
      <c r="N47" s="8" t="s">
        <v>14</v>
      </c>
      <c r="O47" s="3"/>
      <c r="P47" s="3"/>
      <c r="Q47" s="3"/>
      <c r="R47" s="3"/>
      <c r="S47" s="3"/>
      <c r="T47" s="3"/>
      <c r="U47" s="3"/>
      <c r="V47" s="3"/>
      <c r="W47" s="3"/>
      <c r="X47" s="3"/>
      <c r="Y47" s="3"/>
    </row>
    <row r="48" customFormat="false" ht="45.75" hidden="false" customHeight="true" outlineLevel="0" collapsed="false">
      <c r="A48" s="8" t="s">
        <v>27</v>
      </c>
      <c r="B48" s="8" t="s">
        <v>671</v>
      </c>
      <c r="C48" s="9" t="s">
        <v>18</v>
      </c>
      <c r="D48" s="9" t="s">
        <v>673</v>
      </c>
      <c r="E48" s="9" t="s">
        <v>674</v>
      </c>
      <c r="F48" s="9" t="s">
        <v>676</v>
      </c>
      <c r="G48" s="9" t="s">
        <v>664</v>
      </c>
      <c r="H48" s="9" t="s">
        <v>677</v>
      </c>
      <c r="I48" s="9" t="s">
        <v>678</v>
      </c>
      <c r="J48" s="8" t="s">
        <v>63</v>
      </c>
      <c r="K48" s="9" t="s">
        <v>681</v>
      </c>
      <c r="L48" s="9" t="s">
        <v>682</v>
      </c>
      <c r="M48" s="9" t="s">
        <v>680</v>
      </c>
      <c r="N48" s="8" t="s">
        <v>14</v>
      </c>
      <c r="O48" s="3"/>
      <c r="P48" s="3"/>
      <c r="Q48" s="3"/>
      <c r="R48" s="3"/>
      <c r="S48" s="3"/>
      <c r="T48" s="3"/>
      <c r="U48" s="3"/>
      <c r="V48" s="3"/>
      <c r="W48" s="3"/>
      <c r="X48" s="3"/>
      <c r="Y48" s="3"/>
    </row>
    <row r="49" customFormat="false" ht="57" hidden="false" customHeight="true" outlineLevel="0" collapsed="false">
      <c r="A49" s="8" t="s">
        <v>27</v>
      </c>
      <c r="B49" s="8" t="s">
        <v>671</v>
      </c>
      <c r="C49" s="9" t="s">
        <v>18</v>
      </c>
      <c r="D49" s="9" t="s">
        <v>684</v>
      </c>
      <c r="E49" s="9" t="s">
        <v>685</v>
      </c>
      <c r="F49" s="9" t="s">
        <v>687</v>
      </c>
      <c r="G49" s="9" t="s">
        <v>688</v>
      </c>
      <c r="H49" s="9" t="s">
        <v>689</v>
      </c>
      <c r="I49" s="9"/>
      <c r="J49" s="8" t="s">
        <v>63</v>
      </c>
      <c r="K49" s="9" t="s">
        <v>693</v>
      </c>
      <c r="L49" s="9" t="s">
        <v>694</v>
      </c>
      <c r="M49" s="9" t="s">
        <v>691</v>
      </c>
      <c r="N49" s="8" t="s">
        <v>14</v>
      </c>
      <c r="O49" s="3"/>
      <c r="P49" s="3"/>
      <c r="Q49" s="3"/>
      <c r="R49" s="3"/>
      <c r="S49" s="3"/>
      <c r="T49" s="3"/>
      <c r="U49" s="3"/>
      <c r="V49" s="3"/>
      <c r="W49" s="3"/>
      <c r="X49" s="3"/>
      <c r="Y49" s="3"/>
    </row>
    <row r="50" customFormat="false" ht="45.75" hidden="false" customHeight="true" outlineLevel="0" collapsed="false">
      <c r="A50" s="8" t="s">
        <v>27</v>
      </c>
      <c r="B50" s="8" t="s">
        <v>671</v>
      </c>
      <c r="C50" s="9" t="s">
        <v>53</v>
      </c>
      <c r="D50" s="9" t="s">
        <v>696</v>
      </c>
      <c r="E50" s="9" t="s">
        <v>486</v>
      </c>
      <c r="F50" s="9" t="s">
        <v>698</v>
      </c>
      <c r="G50" s="9" t="s">
        <v>699</v>
      </c>
      <c r="H50" s="9" t="s">
        <v>700</v>
      </c>
      <c r="I50" s="9" t="s">
        <v>701</v>
      </c>
      <c r="J50" s="8" t="s">
        <v>63</v>
      </c>
      <c r="K50" s="9" t="s">
        <v>704</v>
      </c>
      <c r="L50" s="9" t="s">
        <v>705</v>
      </c>
      <c r="M50" s="9" t="s">
        <v>702</v>
      </c>
      <c r="N50" s="8" t="s">
        <v>68</v>
      </c>
      <c r="O50" s="3"/>
      <c r="P50" s="3"/>
      <c r="Q50" s="3"/>
      <c r="R50" s="3"/>
      <c r="S50" s="3"/>
      <c r="T50" s="3"/>
      <c r="U50" s="3"/>
      <c r="V50" s="3"/>
      <c r="W50" s="3"/>
      <c r="X50" s="3"/>
      <c r="Y50" s="3"/>
    </row>
    <row r="51" customFormat="false" ht="45.75" hidden="false" customHeight="true" outlineLevel="0" collapsed="false">
      <c r="A51" s="8" t="s">
        <v>27</v>
      </c>
      <c r="B51" s="8" t="s">
        <v>671</v>
      </c>
      <c r="C51" s="9" t="s">
        <v>53</v>
      </c>
      <c r="D51" s="9" t="s">
        <v>706</v>
      </c>
      <c r="E51" s="9" t="s">
        <v>707</v>
      </c>
      <c r="F51" s="9" t="s">
        <v>709</v>
      </c>
      <c r="G51" s="9" t="s">
        <v>126</v>
      </c>
      <c r="H51" s="9" t="s">
        <v>710</v>
      </c>
      <c r="I51" s="9"/>
      <c r="J51" s="8" t="s">
        <v>63</v>
      </c>
      <c r="K51" s="9" t="s">
        <v>713</v>
      </c>
      <c r="L51" s="9" t="s">
        <v>714</v>
      </c>
      <c r="M51" s="9" t="s">
        <v>711</v>
      </c>
      <c r="N51" s="8" t="s">
        <v>14</v>
      </c>
      <c r="O51" s="3"/>
      <c r="P51" s="3"/>
      <c r="Q51" s="3"/>
      <c r="R51" s="3"/>
      <c r="S51" s="3"/>
      <c r="T51" s="3"/>
      <c r="U51" s="3"/>
      <c r="V51" s="3"/>
      <c r="W51" s="3"/>
      <c r="X51" s="3"/>
      <c r="Y51" s="3"/>
    </row>
    <row r="52" customFormat="false" ht="45.75" hidden="false" customHeight="true" outlineLevel="0" collapsed="false">
      <c r="A52" s="8" t="s">
        <v>27</v>
      </c>
      <c r="B52" s="8" t="s">
        <v>671</v>
      </c>
      <c r="C52" s="9" t="s">
        <v>53</v>
      </c>
      <c r="D52" s="9" t="s">
        <v>706</v>
      </c>
      <c r="E52" s="9" t="s">
        <v>716</v>
      </c>
      <c r="F52" s="9" t="s">
        <v>718</v>
      </c>
      <c r="G52" s="9" t="s">
        <v>719</v>
      </c>
      <c r="H52" s="9" t="s">
        <v>710</v>
      </c>
      <c r="I52" s="9"/>
      <c r="J52" s="8" t="s">
        <v>63</v>
      </c>
      <c r="K52" s="9" t="s">
        <v>720</v>
      </c>
      <c r="L52" s="9" t="s">
        <v>721</v>
      </c>
      <c r="M52" s="9" t="s">
        <v>711</v>
      </c>
      <c r="N52" s="8" t="s">
        <v>14</v>
      </c>
      <c r="O52" s="3"/>
      <c r="P52" s="3"/>
      <c r="Q52" s="3"/>
      <c r="R52" s="3"/>
      <c r="S52" s="3"/>
      <c r="T52" s="3"/>
      <c r="U52" s="3"/>
      <c r="V52" s="3"/>
      <c r="W52" s="3"/>
      <c r="X52" s="3"/>
      <c r="Y52" s="3"/>
    </row>
    <row r="53" customFormat="false" ht="57" hidden="false" customHeight="true" outlineLevel="0" collapsed="false">
      <c r="A53" s="8" t="s">
        <v>27</v>
      </c>
      <c r="B53" s="8" t="s">
        <v>671</v>
      </c>
      <c r="C53" s="9" t="s">
        <v>53</v>
      </c>
      <c r="D53" s="9" t="s">
        <v>723</v>
      </c>
      <c r="E53" s="9" t="s">
        <v>724</v>
      </c>
      <c r="F53" s="9" t="s">
        <v>726</v>
      </c>
      <c r="G53" s="9" t="s">
        <v>727</v>
      </c>
      <c r="H53" s="9" t="s">
        <v>728</v>
      </c>
      <c r="I53" s="9"/>
      <c r="J53" s="8" t="s">
        <v>63</v>
      </c>
      <c r="K53" s="9" t="s">
        <v>732</v>
      </c>
      <c r="L53" s="9" t="s">
        <v>733</v>
      </c>
      <c r="M53" s="9" t="s">
        <v>730</v>
      </c>
      <c r="N53" s="8" t="s">
        <v>14</v>
      </c>
      <c r="O53" s="3"/>
      <c r="P53" s="3"/>
      <c r="Q53" s="3"/>
      <c r="R53" s="3"/>
      <c r="S53" s="3"/>
      <c r="T53" s="3"/>
      <c r="U53" s="3"/>
      <c r="V53" s="3"/>
      <c r="W53" s="3"/>
      <c r="X53" s="3"/>
      <c r="Y53" s="3"/>
    </row>
    <row r="54" customFormat="false" ht="45.75" hidden="false" customHeight="true" outlineLevel="0" collapsed="false">
      <c r="A54" s="8" t="s">
        <v>27</v>
      </c>
      <c r="B54" s="8" t="s">
        <v>744</v>
      </c>
      <c r="C54" s="9" t="s">
        <v>191</v>
      </c>
      <c r="D54" s="9" t="s">
        <v>746</v>
      </c>
      <c r="E54" s="9" t="s">
        <v>747</v>
      </c>
      <c r="F54" s="9" t="s">
        <v>749</v>
      </c>
      <c r="G54" s="9" t="s">
        <v>750</v>
      </c>
      <c r="H54" s="9" t="s">
        <v>751</v>
      </c>
      <c r="I54" s="9"/>
      <c r="J54" s="8" t="s">
        <v>63</v>
      </c>
      <c r="K54" s="9" t="s">
        <v>753</v>
      </c>
      <c r="L54" s="9" t="s">
        <v>754</v>
      </c>
      <c r="M54" s="9" t="s">
        <v>752</v>
      </c>
      <c r="N54" s="8" t="s">
        <v>14</v>
      </c>
      <c r="O54" s="3"/>
      <c r="P54" s="3"/>
      <c r="Q54" s="3"/>
      <c r="R54" s="3"/>
      <c r="S54" s="3"/>
      <c r="T54" s="3"/>
      <c r="U54" s="3"/>
      <c r="V54" s="3"/>
      <c r="W54" s="3"/>
      <c r="X54" s="3"/>
      <c r="Y54" s="3"/>
    </row>
    <row r="55" customFormat="false" ht="57" hidden="false" customHeight="true" outlineLevel="0" collapsed="false">
      <c r="A55" s="8" t="s">
        <v>27</v>
      </c>
      <c r="B55" s="8" t="s">
        <v>671</v>
      </c>
      <c r="C55" s="9" t="s">
        <v>191</v>
      </c>
      <c r="D55" s="9" t="s">
        <v>767</v>
      </c>
      <c r="E55" s="9" t="s">
        <v>768</v>
      </c>
      <c r="F55" s="9" t="s">
        <v>770</v>
      </c>
      <c r="G55" s="9" t="s">
        <v>139</v>
      </c>
      <c r="H55" s="9" t="s">
        <v>771</v>
      </c>
      <c r="I55" s="9"/>
      <c r="J55" s="8" t="s">
        <v>63</v>
      </c>
      <c r="K55" s="9" t="s">
        <v>775</v>
      </c>
      <c r="L55" s="9" t="s">
        <v>776</v>
      </c>
      <c r="M55" s="9" t="s">
        <v>773</v>
      </c>
      <c r="N55" s="8" t="s">
        <v>95</v>
      </c>
      <c r="O55" s="3"/>
      <c r="P55" s="3"/>
      <c r="Q55" s="3"/>
      <c r="R55" s="3"/>
      <c r="S55" s="3"/>
      <c r="T55" s="3"/>
      <c r="U55" s="3"/>
      <c r="V55" s="3"/>
      <c r="W55" s="3"/>
      <c r="X55" s="3"/>
      <c r="Y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ustomFormat="false" ht="1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ustomFormat="false" ht="1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ustomFormat="false" ht="1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ustomFormat="false" ht="1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ustomFormat="false" ht="1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ustomFormat="false" ht="1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ustomFormat="false" ht="1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ustomFormat="false" ht="1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ustomFormat="false" ht="1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ustomFormat="false" ht="1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ustomFormat="false" ht="1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ustomFormat="false" ht="1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ustomFormat="false" ht="1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ustomFormat="false" ht="1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ustomFormat="false" ht="1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ustomFormat="false" ht="1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ustomFormat="false" ht="1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ustomFormat="false" ht="1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ustomFormat="false" ht="1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ustomFormat="false" ht="1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ustomFormat="false" ht="1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ustomFormat="false" ht="1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ustomFormat="false" ht="1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ustomFormat="false" ht="1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ustomFormat="false" ht="1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ustomFormat="false" ht="1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ustomFormat="false" ht="1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ustomFormat="false" ht="1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ustomFormat="false" ht="1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ustomFormat="false" ht="1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ustomFormat="false" ht="1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ustomFormat="false" ht="1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ustomFormat="false" ht="1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ustomFormat="false" ht="1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ustomFormat="false" ht="1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ustomFormat="false" ht="1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ustomFormat="false" ht="1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ustomFormat="false" ht="1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ustomFormat="false" ht="1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ustomFormat="false" ht="1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ustomFormat="false" ht="1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ustomFormat="false" ht="1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ustomFormat="false" ht="1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ustomFormat="false" ht="1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ustomFormat="false" ht="1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ustomFormat="false" ht="1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ustomFormat="false" ht="1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ustomFormat="false" ht="1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ustomFormat="false" ht="1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ustomFormat="false" ht="1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ustomFormat="false" ht="1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ustomFormat="false" ht="1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ustomFormat="false" ht="1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ustomFormat="false" ht="1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ustomFormat="false" ht="1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ustomFormat="false" ht="1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ustomFormat="false" ht="1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ustomFormat="false" ht="1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ustomFormat="false" ht="1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ustomFormat="false" ht="1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ustomFormat="false" ht="1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ustomFormat="false" ht="1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ustomFormat="false" ht="1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ustomFormat="false" ht="1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ustomFormat="false" ht="1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ustomFormat="false" ht="1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ustomFormat="false" ht="1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ustomFormat="false" ht="1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ustomFormat="false" ht="1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ustomFormat="false" ht="1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ustomFormat="false" ht="1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ustomFormat="false" ht="1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ustomFormat="false" ht="1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ustomFormat="false" ht="1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ustomFormat="false" ht="1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ustomFormat="false" ht="1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ustomFormat="false" ht="1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ustomFormat="false" ht="1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ustomFormat="false" ht="1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ustomFormat="false" ht="1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sheetData>
  <conditionalFormatting sqref="J2:J55">
    <cfRule type="expression" priority="2" aboveAverage="0" equalAverage="0" bottom="0" percent="0" rank="0" text="" dxfId="8">
      <formula>J2="A"</formula>
    </cfRule>
    <cfRule type="expression" priority="3" aboveAverage="0" equalAverage="0" bottom="0" percent="0" rank="0" text="" dxfId="9">
      <formula>J2="B"</formula>
    </cfRule>
    <cfRule type="expression" priority="4" aboveAverage="0" equalAverage="0" bottom="0" percent="0" rank="0" text="" dxfId="10">
      <formula>J2="C"</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3" min="2" style="1" width="31"/>
    <col collapsed="false" customWidth="true" hidden="false" outlineLevel="0" max="4" min="4" style="1" width="35"/>
    <col collapsed="false" customWidth="true" hidden="false" outlineLevel="0" max="5" min="5" style="1" width="48"/>
    <col collapsed="false" customWidth="true" hidden="false" outlineLevel="0" max="6" min="6" style="1" width="25"/>
    <col collapsed="false" customWidth="true" hidden="false" outlineLevel="0" max="7" min="7" style="1" width="29"/>
    <col collapsed="false" customWidth="true" hidden="false" outlineLevel="0" max="9" min="8" style="1" width="31"/>
    <col collapsed="false" customWidth="true" hidden="false" outlineLevel="0" max="10" min="10" style="1" width="19"/>
    <col collapsed="false" customWidth="true" hidden="false" outlineLevel="0" max="12" min="11" style="1" width="44"/>
    <col collapsed="false" customWidth="true" hidden="false" outlineLevel="0" max="13" min="13" style="1" width="8"/>
    <col collapsed="false" customWidth="true" hidden="false" outlineLevel="0" max="14" min="14" style="1" width="48"/>
    <col collapsed="false" customWidth="true" hidden="false" outlineLevel="0" max="15" min="15" style="1" width="47"/>
    <col collapsed="false" customWidth="true" hidden="false" outlineLevel="0" max="16" min="16" style="1" width="50"/>
    <col collapsed="false" customWidth="true" hidden="false" outlineLevel="0" max="17" min="17" style="1" width="31"/>
    <col collapsed="false" customWidth="true" hidden="false" outlineLevel="0" max="18" min="18" style="1" width="18"/>
    <col collapsed="false" customWidth="true" hidden="false" outlineLevel="0" max="19" min="19" style="1" width="40"/>
  </cols>
  <sheetData>
    <row r="1" customFormat="false" ht="36" hidden="false" customHeight="true" outlineLevel="0" collapsed="false">
      <c r="A1" s="7" t="s">
        <v>30</v>
      </c>
      <c r="B1" s="7" t="s">
        <v>31</v>
      </c>
      <c r="C1" s="7" t="s">
        <v>32</v>
      </c>
      <c r="D1" s="7" t="s">
        <v>33</v>
      </c>
      <c r="E1" s="7" t="s">
        <v>34</v>
      </c>
      <c r="F1" s="7" t="s">
        <v>35</v>
      </c>
      <c r="G1" s="7" t="s">
        <v>36</v>
      </c>
      <c r="H1" s="7" t="s">
        <v>37</v>
      </c>
      <c r="I1" s="7" t="s">
        <v>788</v>
      </c>
      <c r="J1" s="7" t="s">
        <v>39</v>
      </c>
      <c r="K1" s="7" t="s">
        <v>40</v>
      </c>
      <c r="L1" s="7" t="s">
        <v>41</v>
      </c>
      <c r="M1" s="7" t="s">
        <v>42</v>
      </c>
      <c r="N1" s="7" t="s">
        <v>43</v>
      </c>
      <c r="O1" s="7" t="s">
        <v>44</v>
      </c>
      <c r="P1" s="7" t="s">
        <v>46</v>
      </c>
      <c r="Q1" s="7" t="s">
        <v>47</v>
      </c>
      <c r="R1" s="7" t="s">
        <v>49</v>
      </c>
      <c r="S1" s="7" t="s">
        <v>51</v>
      </c>
      <c r="T1" s="3"/>
      <c r="U1" s="3"/>
      <c r="V1" s="3"/>
      <c r="W1" s="3"/>
      <c r="X1" s="3"/>
      <c r="Y1" s="3"/>
    </row>
    <row r="2" customFormat="false" ht="34.5" hidden="false" customHeight="true" outlineLevel="0" collapsed="false">
      <c r="A2" s="8" t="s">
        <v>52</v>
      </c>
      <c r="B2" s="9" t="s">
        <v>53</v>
      </c>
      <c r="C2" s="9" t="s">
        <v>54</v>
      </c>
      <c r="D2" s="9" t="s">
        <v>55</v>
      </c>
      <c r="E2" s="9" t="s">
        <v>56</v>
      </c>
      <c r="F2" s="9" t="s">
        <v>57</v>
      </c>
      <c r="G2" s="9" t="s">
        <v>58</v>
      </c>
      <c r="H2" s="9" t="s">
        <v>59</v>
      </c>
      <c r="I2" s="9"/>
      <c r="J2" s="9" t="s">
        <v>60</v>
      </c>
      <c r="K2" s="9" t="s">
        <v>61</v>
      </c>
      <c r="L2" s="9" t="s">
        <v>62</v>
      </c>
      <c r="M2" s="8" t="s">
        <v>63</v>
      </c>
      <c r="N2" s="9" t="s">
        <v>64</v>
      </c>
      <c r="O2" s="9" t="s">
        <v>65</v>
      </c>
      <c r="P2" s="9" t="s">
        <v>67</v>
      </c>
      <c r="Q2" s="9" t="s">
        <v>8</v>
      </c>
      <c r="R2" s="8" t="s">
        <v>68</v>
      </c>
      <c r="S2" s="9" t="s">
        <v>69</v>
      </c>
      <c r="T2" s="3"/>
      <c r="U2" s="3"/>
      <c r="V2" s="3"/>
      <c r="W2" s="3"/>
      <c r="X2" s="3"/>
      <c r="Y2" s="3"/>
    </row>
    <row r="3" customFormat="false" ht="34.5" hidden="false" customHeight="true" outlineLevel="0" collapsed="false">
      <c r="A3" s="8" t="s">
        <v>52</v>
      </c>
      <c r="B3" s="9" t="s">
        <v>53</v>
      </c>
      <c r="C3" s="9" t="s">
        <v>70</v>
      </c>
      <c r="D3" s="9" t="s">
        <v>71</v>
      </c>
      <c r="E3" s="9" t="s">
        <v>72</v>
      </c>
      <c r="F3" s="9" t="s">
        <v>73</v>
      </c>
      <c r="G3" s="9" t="s">
        <v>74</v>
      </c>
      <c r="H3" s="9" t="s">
        <v>75</v>
      </c>
      <c r="I3" s="9"/>
      <c r="J3" s="9"/>
      <c r="K3" s="9" t="s">
        <v>76</v>
      </c>
      <c r="L3" s="9" t="s">
        <v>77</v>
      </c>
      <c r="M3" s="8" t="s">
        <v>63</v>
      </c>
      <c r="N3" s="9" t="s">
        <v>64</v>
      </c>
      <c r="O3" s="9" t="s">
        <v>78</v>
      </c>
      <c r="P3" s="9" t="s">
        <v>80</v>
      </c>
      <c r="Q3" s="9" t="s">
        <v>81</v>
      </c>
      <c r="R3" s="8" t="s">
        <v>68</v>
      </c>
      <c r="S3" s="9" t="s">
        <v>69</v>
      </c>
      <c r="T3" s="3"/>
      <c r="U3" s="3"/>
      <c r="V3" s="3"/>
      <c r="W3" s="3"/>
      <c r="X3" s="3"/>
      <c r="Y3" s="3"/>
    </row>
    <row r="4" customFormat="false" ht="34.5" hidden="false" customHeight="true" outlineLevel="0" collapsed="false">
      <c r="A4" s="8" t="s">
        <v>82</v>
      </c>
      <c r="B4" s="9" t="s">
        <v>53</v>
      </c>
      <c r="C4" s="9" t="s">
        <v>83</v>
      </c>
      <c r="D4" s="9" t="s">
        <v>84</v>
      </c>
      <c r="E4" s="9" t="s">
        <v>85</v>
      </c>
      <c r="F4" s="9" t="s">
        <v>86</v>
      </c>
      <c r="G4" s="9" t="s">
        <v>87</v>
      </c>
      <c r="H4" s="9" t="s">
        <v>88</v>
      </c>
      <c r="I4" s="9" t="s">
        <v>89</v>
      </c>
      <c r="J4" s="9" t="s">
        <v>90</v>
      </c>
      <c r="K4" s="9" t="s">
        <v>91</v>
      </c>
      <c r="L4" s="9" t="s">
        <v>92</v>
      </c>
      <c r="M4" s="8" t="s">
        <v>63</v>
      </c>
      <c r="N4" s="9" t="s">
        <v>64</v>
      </c>
      <c r="O4" s="9" t="s">
        <v>93</v>
      </c>
      <c r="P4" s="9" t="s">
        <v>67</v>
      </c>
      <c r="Q4" s="9" t="s">
        <v>8</v>
      </c>
      <c r="R4" s="8" t="s">
        <v>95</v>
      </c>
      <c r="S4" s="9" t="s">
        <v>96</v>
      </c>
      <c r="T4" s="3"/>
      <c r="U4" s="3"/>
      <c r="V4" s="3"/>
      <c r="W4" s="3"/>
      <c r="X4" s="3"/>
      <c r="Y4" s="3"/>
    </row>
    <row r="5" customFormat="false" ht="34.5" hidden="false" customHeight="true" outlineLevel="0" collapsed="false">
      <c r="A5" s="8" t="s">
        <v>82</v>
      </c>
      <c r="B5" s="9" t="s">
        <v>18</v>
      </c>
      <c r="C5" s="9" t="s">
        <v>97</v>
      </c>
      <c r="D5" s="9" t="s">
        <v>98</v>
      </c>
      <c r="E5" s="9" t="s">
        <v>99</v>
      </c>
      <c r="F5" s="9" t="s">
        <v>100</v>
      </c>
      <c r="G5" s="9" t="s">
        <v>101</v>
      </c>
      <c r="H5" s="9" t="s">
        <v>102</v>
      </c>
      <c r="I5" s="9" t="s">
        <v>103</v>
      </c>
      <c r="J5" s="9"/>
      <c r="K5" s="9" t="s">
        <v>104</v>
      </c>
      <c r="L5" s="9" t="s">
        <v>105</v>
      </c>
      <c r="M5" s="8" t="s">
        <v>63</v>
      </c>
      <c r="N5" s="9" t="s">
        <v>106</v>
      </c>
      <c r="O5" s="9" t="s">
        <v>107</v>
      </c>
      <c r="P5" s="9" t="s">
        <v>67</v>
      </c>
      <c r="Q5" s="9" t="s">
        <v>8</v>
      </c>
      <c r="R5" s="8" t="s">
        <v>14</v>
      </c>
      <c r="S5" s="9" t="s">
        <v>109</v>
      </c>
      <c r="T5" s="3"/>
      <c r="U5" s="3"/>
      <c r="V5" s="3"/>
      <c r="W5" s="3"/>
      <c r="X5" s="3"/>
      <c r="Y5" s="3"/>
    </row>
    <row r="6" customFormat="false" ht="34.5" hidden="false" customHeight="true" outlineLevel="0" collapsed="false">
      <c r="A6" s="8" t="s">
        <v>110</v>
      </c>
      <c r="B6" s="9" t="s">
        <v>53</v>
      </c>
      <c r="C6" s="9" t="s">
        <v>111</v>
      </c>
      <c r="D6" s="9" t="s">
        <v>112</v>
      </c>
      <c r="E6" s="9" t="s">
        <v>113</v>
      </c>
      <c r="F6" s="9" t="s">
        <v>114</v>
      </c>
      <c r="G6" s="9" t="s">
        <v>115</v>
      </c>
      <c r="H6" s="9" t="s">
        <v>116</v>
      </c>
      <c r="I6" s="9"/>
      <c r="J6" s="9" t="s">
        <v>117</v>
      </c>
      <c r="K6" s="9" t="s">
        <v>118</v>
      </c>
      <c r="L6" s="9" t="s">
        <v>119</v>
      </c>
      <c r="M6" s="8" t="s">
        <v>63</v>
      </c>
      <c r="N6" s="9" t="s">
        <v>64</v>
      </c>
      <c r="O6" s="9" t="s">
        <v>120</v>
      </c>
      <c r="P6" s="9" t="s">
        <v>80</v>
      </c>
      <c r="Q6" s="9" t="s">
        <v>81</v>
      </c>
      <c r="R6" s="8" t="s">
        <v>68</v>
      </c>
      <c r="S6" s="9" t="s">
        <v>69</v>
      </c>
      <c r="T6" s="3"/>
      <c r="U6" s="3"/>
      <c r="V6" s="3"/>
      <c r="W6" s="3"/>
      <c r="X6" s="3"/>
      <c r="Y6" s="3"/>
    </row>
    <row r="7" customFormat="false" ht="34.5" hidden="false" customHeight="true" outlineLevel="0" collapsed="false">
      <c r="A7" s="8" t="s">
        <v>82</v>
      </c>
      <c r="B7" s="9" t="s">
        <v>53</v>
      </c>
      <c r="C7" s="9" t="s">
        <v>122</v>
      </c>
      <c r="D7" s="9" t="s">
        <v>123</v>
      </c>
      <c r="E7" s="9" t="s">
        <v>124</v>
      </c>
      <c r="F7" s="9" t="s">
        <v>125</v>
      </c>
      <c r="G7" s="9" t="s">
        <v>126</v>
      </c>
      <c r="H7" s="9"/>
      <c r="I7" s="9"/>
      <c r="J7" s="9"/>
      <c r="K7" s="9" t="s">
        <v>127</v>
      </c>
      <c r="L7" s="9" t="s">
        <v>128</v>
      </c>
      <c r="M7" s="8" t="s">
        <v>129</v>
      </c>
      <c r="N7" s="9" t="s">
        <v>64</v>
      </c>
      <c r="O7" s="9" t="s">
        <v>130</v>
      </c>
      <c r="P7" s="9" t="s">
        <v>132</v>
      </c>
      <c r="Q7" s="9" t="s">
        <v>133</v>
      </c>
      <c r="R7" s="8" t="s">
        <v>790</v>
      </c>
      <c r="S7" s="9" t="s">
        <v>791</v>
      </c>
      <c r="T7" s="3"/>
      <c r="U7" s="3"/>
      <c r="V7" s="3"/>
      <c r="W7" s="3"/>
      <c r="X7" s="3"/>
      <c r="Y7" s="3"/>
    </row>
    <row r="8" customFormat="false" ht="34.5" hidden="false" customHeight="true" outlineLevel="0" collapsed="false">
      <c r="A8" s="8" t="s">
        <v>82</v>
      </c>
      <c r="B8" s="9" t="s">
        <v>18</v>
      </c>
      <c r="C8" s="9" t="s">
        <v>135</v>
      </c>
      <c r="D8" s="9" t="s">
        <v>136</v>
      </c>
      <c r="E8" s="9" t="s">
        <v>137</v>
      </c>
      <c r="F8" s="9" t="s">
        <v>138</v>
      </c>
      <c r="G8" s="9" t="s">
        <v>139</v>
      </c>
      <c r="H8" s="9"/>
      <c r="I8" s="9"/>
      <c r="J8" s="9" t="s">
        <v>140</v>
      </c>
      <c r="K8" s="9" t="s">
        <v>141</v>
      </c>
      <c r="L8" s="9" t="s">
        <v>142</v>
      </c>
      <c r="M8" s="8" t="s">
        <v>129</v>
      </c>
      <c r="N8" s="9" t="s">
        <v>106</v>
      </c>
      <c r="O8" s="9" t="s">
        <v>143</v>
      </c>
      <c r="P8" s="9" t="s">
        <v>132</v>
      </c>
      <c r="Q8" s="9" t="s">
        <v>133</v>
      </c>
      <c r="R8" s="8" t="s">
        <v>790</v>
      </c>
      <c r="S8" s="9" t="s">
        <v>792</v>
      </c>
      <c r="T8" s="3"/>
      <c r="U8" s="3"/>
      <c r="V8" s="3"/>
      <c r="W8" s="3"/>
      <c r="X8" s="3"/>
      <c r="Y8" s="3"/>
    </row>
    <row r="9" customFormat="false" ht="34.5" hidden="false" customHeight="true" outlineLevel="0" collapsed="false">
      <c r="A9" s="8" t="s">
        <v>82</v>
      </c>
      <c r="B9" s="9" t="s">
        <v>18</v>
      </c>
      <c r="C9" s="9" t="s">
        <v>145</v>
      </c>
      <c r="D9" s="9" t="s">
        <v>146</v>
      </c>
      <c r="E9" s="9" t="s">
        <v>147</v>
      </c>
      <c r="F9" s="9" t="s">
        <v>148</v>
      </c>
      <c r="G9" s="9" t="s">
        <v>149</v>
      </c>
      <c r="H9" s="9" t="s">
        <v>150</v>
      </c>
      <c r="I9" s="9"/>
      <c r="J9" s="9" t="s">
        <v>151</v>
      </c>
      <c r="K9" s="9" t="s">
        <v>152</v>
      </c>
      <c r="L9" s="9" t="s">
        <v>153</v>
      </c>
      <c r="M9" s="8" t="s">
        <v>63</v>
      </c>
      <c r="N9" s="9" t="s">
        <v>106</v>
      </c>
      <c r="O9" s="9" t="s">
        <v>154</v>
      </c>
      <c r="P9" s="9" t="s">
        <v>67</v>
      </c>
      <c r="Q9" s="9" t="s">
        <v>8</v>
      </c>
      <c r="R9" s="8" t="s">
        <v>95</v>
      </c>
      <c r="S9" s="9" t="s">
        <v>156</v>
      </c>
      <c r="T9" s="3"/>
      <c r="U9" s="3"/>
      <c r="V9" s="3"/>
      <c r="W9" s="3"/>
      <c r="X9" s="3"/>
      <c r="Y9" s="3"/>
    </row>
    <row r="10" customFormat="false" ht="34.5" hidden="false" customHeight="true" outlineLevel="0" collapsed="false">
      <c r="A10" s="8" t="s">
        <v>52</v>
      </c>
      <c r="B10" s="9" t="s">
        <v>18</v>
      </c>
      <c r="C10" s="9" t="s">
        <v>157</v>
      </c>
      <c r="D10" s="9" t="s">
        <v>158</v>
      </c>
      <c r="E10" s="9" t="s">
        <v>159</v>
      </c>
      <c r="F10" s="9" t="s">
        <v>160</v>
      </c>
      <c r="G10" s="9" t="s">
        <v>161</v>
      </c>
      <c r="H10" s="9" t="s">
        <v>162</v>
      </c>
      <c r="I10" s="9"/>
      <c r="J10" s="9" t="s">
        <v>163</v>
      </c>
      <c r="K10" s="9" t="s">
        <v>164</v>
      </c>
      <c r="L10" s="9" t="s">
        <v>165</v>
      </c>
      <c r="M10" s="8" t="s">
        <v>63</v>
      </c>
      <c r="N10" s="9" t="s">
        <v>106</v>
      </c>
      <c r="O10" s="9" t="s">
        <v>166</v>
      </c>
      <c r="P10" s="9" t="s">
        <v>67</v>
      </c>
      <c r="Q10" s="9" t="s">
        <v>8</v>
      </c>
      <c r="R10" s="8" t="s">
        <v>14</v>
      </c>
      <c r="S10" s="9" t="s">
        <v>168</v>
      </c>
      <c r="T10" s="3"/>
      <c r="U10" s="3"/>
      <c r="V10" s="3"/>
      <c r="W10" s="3"/>
      <c r="X10" s="3"/>
      <c r="Y10" s="3"/>
    </row>
    <row r="11" customFormat="false" ht="34.5" hidden="false" customHeight="true" outlineLevel="0" collapsed="false">
      <c r="A11" s="8" t="s">
        <v>110</v>
      </c>
      <c r="B11" s="9" t="s">
        <v>18</v>
      </c>
      <c r="C11" s="9" t="s">
        <v>169</v>
      </c>
      <c r="D11" s="9" t="s">
        <v>158</v>
      </c>
      <c r="E11" s="9" t="s">
        <v>170</v>
      </c>
      <c r="F11" s="9" t="s">
        <v>171</v>
      </c>
      <c r="G11" s="9" t="s">
        <v>172</v>
      </c>
      <c r="H11" s="9" t="s">
        <v>173</v>
      </c>
      <c r="I11" s="9" t="s">
        <v>174</v>
      </c>
      <c r="J11" s="9" t="s">
        <v>175</v>
      </c>
      <c r="K11" s="9" t="s">
        <v>176</v>
      </c>
      <c r="L11" s="9" t="s">
        <v>176</v>
      </c>
      <c r="M11" s="8" t="s">
        <v>63</v>
      </c>
      <c r="N11" s="9" t="s">
        <v>106</v>
      </c>
      <c r="O11" s="9" t="s">
        <v>166</v>
      </c>
      <c r="P11" s="9" t="s">
        <v>67</v>
      </c>
      <c r="Q11" s="9" t="s">
        <v>8</v>
      </c>
      <c r="R11" s="8" t="s">
        <v>14</v>
      </c>
      <c r="S11" s="9" t="s">
        <v>178</v>
      </c>
      <c r="T11" s="3"/>
      <c r="U11" s="3"/>
      <c r="V11" s="3"/>
      <c r="W11" s="3"/>
      <c r="X11" s="3"/>
      <c r="Y11" s="3"/>
    </row>
    <row r="12" customFormat="false" ht="34.5" hidden="false" customHeight="true" outlineLevel="0" collapsed="false">
      <c r="A12" s="8" t="s">
        <v>82</v>
      </c>
      <c r="B12" s="9" t="s">
        <v>15</v>
      </c>
      <c r="C12" s="9" t="s">
        <v>179</v>
      </c>
      <c r="D12" s="9" t="s">
        <v>180</v>
      </c>
      <c r="E12" s="9" t="s">
        <v>181</v>
      </c>
      <c r="F12" s="9" t="s">
        <v>182</v>
      </c>
      <c r="G12" s="9" t="s">
        <v>183</v>
      </c>
      <c r="H12" s="9" t="s">
        <v>184</v>
      </c>
      <c r="I12" s="9" t="s">
        <v>185</v>
      </c>
      <c r="J12" s="9" t="s">
        <v>186</v>
      </c>
      <c r="K12" s="9" t="s">
        <v>187</v>
      </c>
      <c r="L12" s="9" t="s">
        <v>187</v>
      </c>
      <c r="M12" s="8" t="s">
        <v>63</v>
      </c>
      <c r="N12" s="9" t="s">
        <v>188</v>
      </c>
      <c r="O12" s="9" t="s">
        <v>189</v>
      </c>
      <c r="P12" s="9" t="s">
        <v>67</v>
      </c>
      <c r="Q12" s="9" t="s">
        <v>8</v>
      </c>
      <c r="R12" s="8" t="s">
        <v>68</v>
      </c>
      <c r="S12" s="9" t="s">
        <v>69</v>
      </c>
      <c r="T12" s="3"/>
      <c r="U12" s="3"/>
      <c r="V12" s="3"/>
      <c r="W12" s="3"/>
      <c r="X12" s="3"/>
      <c r="Y12" s="3"/>
    </row>
    <row r="13" customFormat="false" ht="34.5" hidden="false" customHeight="true" outlineLevel="0" collapsed="false">
      <c r="A13" s="8" t="s">
        <v>52</v>
      </c>
      <c r="B13" s="9" t="s">
        <v>191</v>
      </c>
      <c r="C13" s="9" t="s">
        <v>192</v>
      </c>
      <c r="D13" s="9" t="s">
        <v>193</v>
      </c>
      <c r="E13" s="9" t="s">
        <v>194</v>
      </c>
      <c r="F13" s="9" t="s">
        <v>195</v>
      </c>
      <c r="G13" s="9" t="s">
        <v>196</v>
      </c>
      <c r="H13" s="9" t="s">
        <v>197</v>
      </c>
      <c r="I13" s="9" t="s">
        <v>198</v>
      </c>
      <c r="J13" s="9"/>
      <c r="K13" s="9" t="s">
        <v>199</v>
      </c>
      <c r="L13" s="9" t="s">
        <v>200</v>
      </c>
      <c r="M13" s="8" t="s">
        <v>63</v>
      </c>
      <c r="N13" s="9" t="s">
        <v>201</v>
      </c>
      <c r="O13" s="9" t="s">
        <v>202</v>
      </c>
      <c r="P13" s="9" t="s">
        <v>80</v>
      </c>
      <c r="Q13" s="9" t="s">
        <v>81</v>
      </c>
      <c r="R13" s="8" t="s">
        <v>14</v>
      </c>
      <c r="S13" s="9" t="s">
        <v>204</v>
      </c>
      <c r="T13" s="3"/>
      <c r="U13" s="3"/>
      <c r="V13" s="3"/>
      <c r="W13" s="3"/>
      <c r="X13" s="3"/>
      <c r="Y13" s="3"/>
    </row>
    <row r="14" customFormat="false" ht="34.5" hidden="false" customHeight="true" outlineLevel="0" collapsed="false">
      <c r="A14" s="8" t="s">
        <v>52</v>
      </c>
      <c r="B14" s="9" t="s">
        <v>191</v>
      </c>
      <c r="C14" s="9" t="s">
        <v>205</v>
      </c>
      <c r="D14" s="9" t="s">
        <v>206</v>
      </c>
      <c r="E14" s="9" t="s">
        <v>207</v>
      </c>
      <c r="F14" s="9" t="s">
        <v>208</v>
      </c>
      <c r="G14" s="9" t="s">
        <v>209</v>
      </c>
      <c r="H14" s="9" t="s">
        <v>210</v>
      </c>
      <c r="I14" s="9" t="s">
        <v>211</v>
      </c>
      <c r="J14" s="9" t="s">
        <v>212</v>
      </c>
      <c r="K14" s="9" t="s">
        <v>213</v>
      </c>
      <c r="L14" s="9" t="s">
        <v>214</v>
      </c>
      <c r="M14" s="8" t="s">
        <v>63</v>
      </c>
      <c r="N14" s="9" t="s">
        <v>201</v>
      </c>
      <c r="O14" s="9" t="s">
        <v>215</v>
      </c>
      <c r="P14" s="9" t="s">
        <v>67</v>
      </c>
      <c r="Q14" s="9" t="s">
        <v>8</v>
      </c>
      <c r="R14" s="8" t="s">
        <v>14</v>
      </c>
      <c r="S14" s="9" t="s">
        <v>217</v>
      </c>
      <c r="T14" s="3"/>
      <c r="U14" s="3"/>
      <c r="V14" s="3"/>
      <c r="W14" s="3"/>
      <c r="X14" s="3"/>
      <c r="Y14" s="3"/>
    </row>
    <row r="15" customFormat="false" ht="34.5" hidden="false" customHeight="true" outlineLevel="0" collapsed="false">
      <c r="A15" s="8" t="s">
        <v>110</v>
      </c>
      <c r="B15" s="9" t="s">
        <v>191</v>
      </c>
      <c r="C15" s="9" t="s">
        <v>218</v>
      </c>
      <c r="D15" s="9" t="s">
        <v>123</v>
      </c>
      <c r="E15" s="9" t="s">
        <v>219</v>
      </c>
      <c r="F15" s="9" t="s">
        <v>220</v>
      </c>
      <c r="G15" s="9" t="s">
        <v>221</v>
      </c>
      <c r="H15" s="9" t="s">
        <v>222</v>
      </c>
      <c r="I15" s="9" t="s">
        <v>223</v>
      </c>
      <c r="J15" s="9"/>
      <c r="K15" s="9" t="s">
        <v>224</v>
      </c>
      <c r="L15" s="9" t="s">
        <v>224</v>
      </c>
      <c r="M15" s="8" t="s">
        <v>63</v>
      </c>
      <c r="N15" s="9" t="s">
        <v>201</v>
      </c>
      <c r="O15" s="9" t="s">
        <v>130</v>
      </c>
      <c r="P15" s="9" t="s">
        <v>80</v>
      </c>
      <c r="Q15" s="9" t="s">
        <v>81</v>
      </c>
      <c r="R15" s="8" t="s">
        <v>14</v>
      </c>
      <c r="S15" s="9" t="s">
        <v>226</v>
      </c>
      <c r="T15" s="3"/>
      <c r="U15" s="3"/>
      <c r="V15" s="3"/>
      <c r="W15" s="3"/>
      <c r="X15" s="3"/>
      <c r="Y15" s="3"/>
    </row>
    <row r="16" customFormat="false" ht="34.5" hidden="false" customHeight="true" outlineLevel="0" collapsed="false">
      <c r="A16" s="8" t="s">
        <v>227</v>
      </c>
      <c r="B16" s="9" t="s">
        <v>15</v>
      </c>
      <c r="C16" s="9" t="s">
        <v>228</v>
      </c>
      <c r="D16" s="9" t="s">
        <v>229</v>
      </c>
      <c r="E16" s="9" t="s">
        <v>230</v>
      </c>
      <c r="F16" s="9" t="s">
        <v>231</v>
      </c>
      <c r="G16" s="9" t="s">
        <v>232</v>
      </c>
      <c r="H16" s="9" t="s">
        <v>233</v>
      </c>
      <c r="I16" s="9" t="s">
        <v>234</v>
      </c>
      <c r="J16" s="9"/>
      <c r="K16" s="9" t="s">
        <v>235</v>
      </c>
      <c r="L16" s="9" t="s">
        <v>236</v>
      </c>
      <c r="M16" s="8" t="s">
        <v>129</v>
      </c>
      <c r="N16" s="9" t="s">
        <v>188</v>
      </c>
      <c r="O16" s="9" t="s">
        <v>237</v>
      </c>
      <c r="P16" s="9" t="s">
        <v>80</v>
      </c>
      <c r="Q16" s="9" t="s">
        <v>81</v>
      </c>
      <c r="R16" s="8" t="s">
        <v>14</v>
      </c>
      <c r="S16" s="9" t="s">
        <v>239</v>
      </c>
      <c r="T16" s="3"/>
      <c r="U16" s="3"/>
      <c r="V16" s="3"/>
      <c r="W16" s="3"/>
      <c r="X16" s="3"/>
      <c r="Y16" s="3"/>
    </row>
    <row r="17" customFormat="false" ht="34.5" hidden="false" customHeight="true" outlineLevel="0" collapsed="false">
      <c r="A17" s="8" t="s">
        <v>82</v>
      </c>
      <c r="B17" s="9" t="s">
        <v>191</v>
      </c>
      <c r="C17" s="9" t="s">
        <v>240</v>
      </c>
      <c r="D17" s="9" t="s">
        <v>241</v>
      </c>
      <c r="E17" s="9" t="s">
        <v>242</v>
      </c>
      <c r="F17" s="9" t="s">
        <v>243</v>
      </c>
      <c r="G17" s="9" t="s">
        <v>244</v>
      </c>
      <c r="H17" s="9" t="s">
        <v>245</v>
      </c>
      <c r="I17" s="9" t="s">
        <v>246</v>
      </c>
      <c r="J17" s="9" t="s">
        <v>247</v>
      </c>
      <c r="K17" s="9" t="s">
        <v>248</v>
      </c>
      <c r="L17" s="9" t="s">
        <v>249</v>
      </c>
      <c r="M17" s="8" t="s">
        <v>63</v>
      </c>
      <c r="N17" s="9" t="s">
        <v>201</v>
      </c>
      <c r="O17" s="9" t="s">
        <v>250</v>
      </c>
      <c r="P17" s="9" t="s">
        <v>80</v>
      </c>
      <c r="Q17" s="9" t="s">
        <v>81</v>
      </c>
      <c r="R17" s="8" t="s">
        <v>14</v>
      </c>
      <c r="S17" s="9" t="s">
        <v>252</v>
      </c>
      <c r="T17" s="3"/>
      <c r="U17" s="3"/>
      <c r="V17" s="3"/>
      <c r="W17" s="3"/>
      <c r="X17" s="3"/>
      <c r="Y17" s="3"/>
    </row>
    <row r="18" customFormat="false" ht="34.5" hidden="false" customHeight="true" outlineLevel="0" collapsed="false">
      <c r="A18" s="8" t="s">
        <v>82</v>
      </c>
      <c r="B18" s="9" t="s">
        <v>15</v>
      </c>
      <c r="C18" s="9" t="s">
        <v>253</v>
      </c>
      <c r="D18" s="9" t="s">
        <v>254</v>
      </c>
      <c r="E18" s="9" t="s">
        <v>255</v>
      </c>
      <c r="F18" s="9" t="s">
        <v>256</v>
      </c>
      <c r="G18" s="9" t="s">
        <v>257</v>
      </c>
      <c r="H18" s="9" t="s">
        <v>258</v>
      </c>
      <c r="I18" s="9" t="s">
        <v>259</v>
      </c>
      <c r="J18" s="9"/>
      <c r="K18" s="9" t="s">
        <v>260</v>
      </c>
      <c r="L18" s="9" t="s">
        <v>261</v>
      </c>
      <c r="M18" s="8" t="s">
        <v>129</v>
      </c>
      <c r="N18" s="9" t="s">
        <v>188</v>
      </c>
      <c r="O18" s="9" t="s">
        <v>262</v>
      </c>
      <c r="P18" s="9" t="s">
        <v>80</v>
      </c>
      <c r="Q18" s="9" t="s">
        <v>81</v>
      </c>
      <c r="R18" s="8" t="s">
        <v>14</v>
      </c>
      <c r="S18" s="9" t="s">
        <v>264</v>
      </c>
      <c r="T18" s="3"/>
      <c r="U18" s="3"/>
      <c r="V18" s="3"/>
      <c r="W18" s="3"/>
      <c r="X18" s="3"/>
      <c r="Y18" s="3"/>
    </row>
    <row r="19" customFormat="false" ht="34.5" hidden="false" customHeight="true" outlineLevel="0" collapsed="false">
      <c r="A19" s="8" t="s">
        <v>82</v>
      </c>
      <c r="B19" s="9" t="s">
        <v>15</v>
      </c>
      <c r="C19" s="9" t="s">
        <v>266</v>
      </c>
      <c r="D19" s="9" t="s">
        <v>267</v>
      </c>
      <c r="E19" s="9" t="s">
        <v>268</v>
      </c>
      <c r="F19" s="9" t="s">
        <v>269</v>
      </c>
      <c r="G19" s="9" t="s">
        <v>270</v>
      </c>
      <c r="H19" s="9"/>
      <c r="I19" s="9"/>
      <c r="J19" s="9"/>
      <c r="K19" s="9" t="s">
        <v>271</v>
      </c>
      <c r="L19" s="9" t="s">
        <v>271</v>
      </c>
      <c r="M19" s="8" t="s">
        <v>129</v>
      </c>
      <c r="N19" s="9" t="s">
        <v>188</v>
      </c>
      <c r="O19" s="9" t="s">
        <v>272</v>
      </c>
      <c r="P19" s="9" t="s">
        <v>132</v>
      </c>
      <c r="Q19" s="9" t="s">
        <v>133</v>
      </c>
      <c r="R19" s="8" t="s">
        <v>790</v>
      </c>
      <c r="S19" s="9" t="s">
        <v>793</v>
      </c>
      <c r="T19" s="3"/>
      <c r="U19" s="3"/>
      <c r="V19" s="3"/>
      <c r="W19" s="3"/>
      <c r="X19" s="3"/>
      <c r="Y19" s="3"/>
    </row>
    <row r="20" customFormat="false" ht="34.5" hidden="false" customHeight="true" outlineLevel="0" collapsed="false">
      <c r="A20" s="8" t="s">
        <v>110</v>
      </c>
      <c r="B20" s="9" t="s">
        <v>15</v>
      </c>
      <c r="C20" s="9" t="s">
        <v>274</v>
      </c>
      <c r="D20" s="9" t="s">
        <v>275</v>
      </c>
      <c r="E20" s="9" t="s">
        <v>276</v>
      </c>
      <c r="F20" s="9" t="s">
        <v>277</v>
      </c>
      <c r="G20" s="9" t="s">
        <v>278</v>
      </c>
      <c r="H20" s="9"/>
      <c r="I20" s="9"/>
      <c r="J20" s="9"/>
      <c r="K20" s="9" t="s">
        <v>279</v>
      </c>
      <c r="L20" s="9" t="s">
        <v>279</v>
      </c>
      <c r="M20" s="8" t="s">
        <v>280</v>
      </c>
      <c r="N20" s="9" t="s">
        <v>188</v>
      </c>
      <c r="O20" s="9" t="s">
        <v>281</v>
      </c>
      <c r="P20" s="9" t="s">
        <v>132</v>
      </c>
      <c r="Q20" s="9" t="s">
        <v>133</v>
      </c>
      <c r="R20" s="8" t="s">
        <v>790</v>
      </c>
      <c r="S20" s="9" t="s">
        <v>794</v>
      </c>
      <c r="T20" s="3"/>
      <c r="U20" s="3"/>
      <c r="V20" s="3"/>
      <c r="W20" s="3"/>
      <c r="X20" s="3"/>
      <c r="Y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ustomFormat="false" ht="1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ustomFormat="false" ht="1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ustomFormat="false" ht="1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ustomFormat="false" ht="1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ustomFormat="false" ht="1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ustomFormat="false" ht="1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ustomFormat="false" ht="1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ustomFormat="false" ht="1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ustomFormat="false" ht="1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ustomFormat="false" ht="1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ustomFormat="false" ht="1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ustomFormat="false" ht="1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ustomFormat="false" ht="1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ustomFormat="false" ht="1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ustomFormat="false" ht="1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ustomFormat="false" ht="1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ustomFormat="false" ht="1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ustomFormat="false" ht="1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ustomFormat="false" ht="1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ustomFormat="false" ht="1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ustomFormat="false" ht="1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ustomFormat="false" ht="1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ustomFormat="false" ht="1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ustomFormat="false" ht="1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ustomFormat="false" ht="1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ustomFormat="false" ht="1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ustomFormat="false" ht="1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ustomFormat="false" ht="1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ustomFormat="false" ht="1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ustomFormat="false" ht="1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ustomFormat="false" ht="1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ustomFormat="false" ht="1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ustomFormat="false" ht="1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ustomFormat="false" ht="1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ustomFormat="false" ht="1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ustomFormat="false" ht="1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ustomFormat="false" ht="1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ustomFormat="false" ht="1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ustomFormat="false" ht="1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ustomFormat="false" ht="1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ustomFormat="false" ht="1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ustomFormat="false" ht="1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ustomFormat="false" ht="1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ustomFormat="false" ht="1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ustomFormat="false" ht="1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ustomFormat="false" ht="1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ustomFormat="false" ht="1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ustomFormat="false" ht="1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ustomFormat="false" ht="1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ustomFormat="false" ht="1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ustomFormat="false" ht="1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ustomFormat="false" ht="1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ustomFormat="false" ht="1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ustomFormat="false" ht="1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ustomFormat="false" ht="1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ustomFormat="false" ht="1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ustomFormat="false" ht="1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ustomFormat="false" ht="1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ustomFormat="false" ht="1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ustomFormat="false" ht="1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ustomFormat="false" ht="1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ustomFormat="false" ht="1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ustomFormat="false" ht="1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ustomFormat="false" ht="1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ustomFormat="false" ht="1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ustomFormat="false" ht="1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ustomFormat="false" ht="1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ustomFormat="false" ht="1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ustomFormat="false" ht="1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ustomFormat="false" ht="1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ustomFormat="false" ht="1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ustomFormat="false" ht="1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ustomFormat="false" ht="1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ustomFormat="false" ht="1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ustomFormat="false" ht="1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ustomFormat="false" ht="1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ustomFormat="false" ht="1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ustomFormat="false" ht="1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ustomFormat="false" ht="1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ustomFormat="false" ht="1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sheetData>
  <conditionalFormatting sqref="M2:M20">
    <cfRule type="expression" priority="2" aboveAverage="0" equalAverage="0" bottom="0" percent="0" rank="0" text="" dxfId="8">
      <formula>M2="A"</formula>
    </cfRule>
    <cfRule type="expression" priority="3" aboveAverage="0" equalAverage="0" bottom="0" percent="0" rank="0" text="" dxfId="9">
      <formula>M2="B"</formula>
    </cfRule>
    <cfRule type="expression" priority="4" aboveAverage="0" equalAverage="0" bottom="0" percent="0" rank="0" text="" dxfId="10">
      <formula>M2="C"</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3" min="2" style="1" width="31"/>
    <col collapsed="false" customWidth="true" hidden="false" outlineLevel="0" max="4" min="4" style="1" width="35"/>
    <col collapsed="false" customWidth="true" hidden="false" outlineLevel="0" max="5" min="5" style="1" width="48"/>
    <col collapsed="false" customWidth="true" hidden="false" outlineLevel="0" max="6" min="6" style="1" width="25"/>
    <col collapsed="false" customWidth="true" hidden="false" outlineLevel="0" max="7" min="7" style="1" width="29"/>
    <col collapsed="false" customWidth="true" hidden="false" outlineLevel="0" max="9" min="8" style="1" width="31"/>
    <col collapsed="false" customWidth="true" hidden="false" outlineLevel="0" max="10" min="10" style="1" width="19"/>
    <col collapsed="false" customWidth="true" hidden="false" outlineLevel="0" max="12" min="11" style="1" width="44"/>
    <col collapsed="false" customWidth="true" hidden="false" outlineLevel="0" max="13" min="13" style="1" width="8"/>
    <col collapsed="false" customWidth="true" hidden="false" outlineLevel="0" max="14" min="14" style="1" width="48"/>
    <col collapsed="false" customWidth="true" hidden="false" outlineLevel="0" max="15" min="15" style="1" width="47"/>
    <col collapsed="false" customWidth="true" hidden="false" outlineLevel="0" max="16" min="16" style="1" width="50"/>
    <col collapsed="false" customWidth="true" hidden="false" outlineLevel="0" max="17" min="17" style="1" width="31"/>
    <col collapsed="false" customWidth="true" hidden="false" outlineLevel="0" max="18" min="18" style="1" width="18"/>
    <col collapsed="false" customWidth="true" hidden="false" outlineLevel="0" max="19" min="19" style="1" width="40"/>
  </cols>
  <sheetData>
    <row r="1" customFormat="false" ht="36" hidden="false" customHeight="true" outlineLevel="0" collapsed="false">
      <c r="A1" s="7" t="s">
        <v>30</v>
      </c>
      <c r="B1" s="7" t="s">
        <v>31</v>
      </c>
      <c r="C1" s="7" t="s">
        <v>32</v>
      </c>
      <c r="D1" s="7" t="s">
        <v>33</v>
      </c>
      <c r="E1" s="7" t="s">
        <v>34</v>
      </c>
      <c r="F1" s="7" t="s">
        <v>35</v>
      </c>
      <c r="G1" s="7" t="s">
        <v>36</v>
      </c>
      <c r="H1" s="7" t="s">
        <v>37</v>
      </c>
      <c r="I1" s="7" t="s">
        <v>788</v>
      </c>
      <c r="J1" s="7" t="s">
        <v>39</v>
      </c>
      <c r="K1" s="7" t="s">
        <v>40</v>
      </c>
      <c r="L1" s="7" t="s">
        <v>41</v>
      </c>
      <c r="M1" s="7" t="s">
        <v>42</v>
      </c>
      <c r="N1" s="7" t="s">
        <v>43</v>
      </c>
      <c r="O1" s="7" t="s">
        <v>44</v>
      </c>
      <c r="P1" s="7" t="s">
        <v>46</v>
      </c>
      <c r="Q1" s="7" t="s">
        <v>47</v>
      </c>
      <c r="R1" s="7" t="s">
        <v>49</v>
      </c>
      <c r="S1" s="7" t="s">
        <v>51</v>
      </c>
      <c r="T1" s="3"/>
      <c r="U1" s="3"/>
      <c r="V1" s="3"/>
      <c r="W1" s="3"/>
      <c r="X1" s="3"/>
      <c r="Y1" s="3"/>
    </row>
    <row r="2" customFormat="false" ht="34.5" hidden="false" customHeight="true" outlineLevel="0" collapsed="false">
      <c r="A2" s="8" t="s">
        <v>283</v>
      </c>
      <c r="B2" s="9" t="s">
        <v>18</v>
      </c>
      <c r="C2" s="9" t="s">
        <v>284</v>
      </c>
      <c r="D2" s="9" t="s">
        <v>285</v>
      </c>
      <c r="E2" s="9" t="s">
        <v>286</v>
      </c>
      <c r="F2" s="9" t="s">
        <v>287</v>
      </c>
      <c r="G2" s="9" t="s">
        <v>285</v>
      </c>
      <c r="H2" s="9" t="s">
        <v>288</v>
      </c>
      <c r="I2" s="9" t="s">
        <v>289</v>
      </c>
      <c r="J2" s="9" t="s">
        <v>290</v>
      </c>
      <c r="K2" s="9" t="s">
        <v>291</v>
      </c>
      <c r="L2" s="9" t="s">
        <v>292</v>
      </c>
      <c r="M2" s="8" t="s">
        <v>63</v>
      </c>
      <c r="N2" s="9" t="s">
        <v>106</v>
      </c>
      <c r="O2" s="9" t="s">
        <v>293</v>
      </c>
      <c r="P2" s="9" t="s">
        <v>67</v>
      </c>
      <c r="Q2" s="9" t="s">
        <v>8</v>
      </c>
      <c r="R2" s="8" t="s">
        <v>14</v>
      </c>
      <c r="S2" s="9" t="s">
        <v>295</v>
      </c>
      <c r="T2" s="3"/>
      <c r="U2" s="3"/>
      <c r="V2" s="3"/>
      <c r="W2" s="3"/>
      <c r="X2" s="3"/>
      <c r="Y2" s="3"/>
    </row>
    <row r="3" customFormat="false" ht="34.5" hidden="false" customHeight="true" outlineLevel="0" collapsed="false">
      <c r="A3" s="8" t="s">
        <v>283</v>
      </c>
      <c r="B3" s="9" t="s">
        <v>18</v>
      </c>
      <c r="C3" s="9" t="s">
        <v>296</v>
      </c>
      <c r="D3" s="9" t="s">
        <v>297</v>
      </c>
      <c r="E3" s="9" t="s">
        <v>298</v>
      </c>
      <c r="F3" s="9" t="s">
        <v>299</v>
      </c>
      <c r="G3" s="9" t="s">
        <v>300</v>
      </c>
      <c r="H3" s="9" t="s">
        <v>301</v>
      </c>
      <c r="I3" s="9"/>
      <c r="J3" s="9" t="s">
        <v>302</v>
      </c>
      <c r="K3" s="9" t="s">
        <v>303</v>
      </c>
      <c r="L3" s="9" t="s">
        <v>304</v>
      </c>
      <c r="M3" s="8" t="s">
        <v>63</v>
      </c>
      <c r="N3" s="9" t="s">
        <v>106</v>
      </c>
      <c r="O3" s="9" t="s">
        <v>305</v>
      </c>
      <c r="P3" s="9" t="s">
        <v>67</v>
      </c>
      <c r="Q3" s="9" t="s">
        <v>8</v>
      </c>
      <c r="R3" s="8" t="s">
        <v>95</v>
      </c>
      <c r="S3" s="9" t="s">
        <v>307</v>
      </c>
      <c r="T3" s="3"/>
      <c r="U3" s="3"/>
      <c r="V3" s="3"/>
      <c r="W3" s="3"/>
      <c r="X3" s="3"/>
      <c r="Y3" s="3"/>
    </row>
    <row r="4" customFormat="false" ht="34.5" hidden="false" customHeight="true" outlineLevel="0" collapsed="false">
      <c r="A4" s="8" t="s">
        <v>283</v>
      </c>
      <c r="B4" s="9" t="s">
        <v>18</v>
      </c>
      <c r="C4" s="9" t="s">
        <v>296</v>
      </c>
      <c r="D4" s="9" t="s">
        <v>308</v>
      </c>
      <c r="E4" s="9" t="s">
        <v>309</v>
      </c>
      <c r="F4" s="9" t="s">
        <v>310</v>
      </c>
      <c r="G4" s="9" t="s">
        <v>311</v>
      </c>
      <c r="H4" s="9" t="s">
        <v>301</v>
      </c>
      <c r="I4" s="9"/>
      <c r="J4" s="9" t="s">
        <v>302</v>
      </c>
      <c r="K4" s="9" t="s">
        <v>312</v>
      </c>
      <c r="L4" s="9" t="s">
        <v>313</v>
      </c>
      <c r="M4" s="8" t="s">
        <v>129</v>
      </c>
      <c r="N4" s="9" t="s">
        <v>106</v>
      </c>
      <c r="O4" s="9" t="s">
        <v>314</v>
      </c>
      <c r="P4" s="9" t="s">
        <v>67</v>
      </c>
      <c r="Q4" s="9" t="s">
        <v>8</v>
      </c>
      <c r="R4" s="8" t="s">
        <v>95</v>
      </c>
      <c r="S4" s="9" t="s">
        <v>307</v>
      </c>
      <c r="T4" s="3"/>
      <c r="U4" s="3"/>
      <c r="V4" s="3"/>
      <c r="W4" s="3"/>
      <c r="X4" s="3"/>
      <c r="Y4" s="3"/>
    </row>
    <row r="5" customFormat="false" ht="34.5" hidden="false" customHeight="true" outlineLevel="0" collapsed="false">
      <c r="A5" s="8" t="s">
        <v>283</v>
      </c>
      <c r="B5" s="9" t="s">
        <v>53</v>
      </c>
      <c r="C5" s="9" t="s">
        <v>316</v>
      </c>
      <c r="D5" s="9" t="s">
        <v>317</v>
      </c>
      <c r="E5" s="9" t="s">
        <v>318</v>
      </c>
      <c r="F5" s="9" t="s">
        <v>319</v>
      </c>
      <c r="G5" s="9" t="s">
        <v>320</v>
      </c>
      <c r="H5" s="9" t="s">
        <v>321</v>
      </c>
      <c r="I5" s="9"/>
      <c r="J5" s="9"/>
      <c r="K5" s="9" t="s">
        <v>322</v>
      </c>
      <c r="L5" s="9" t="s">
        <v>323</v>
      </c>
      <c r="M5" s="8" t="s">
        <v>63</v>
      </c>
      <c r="N5" s="9" t="s">
        <v>64</v>
      </c>
      <c r="O5" s="9" t="s">
        <v>324</v>
      </c>
      <c r="P5" s="9" t="s">
        <v>67</v>
      </c>
      <c r="Q5" s="9" t="s">
        <v>8</v>
      </c>
      <c r="R5" s="8" t="s">
        <v>14</v>
      </c>
      <c r="S5" s="9" t="s">
        <v>326</v>
      </c>
      <c r="T5" s="3"/>
      <c r="U5" s="3"/>
      <c r="V5" s="3"/>
      <c r="W5" s="3"/>
      <c r="X5" s="3"/>
      <c r="Y5" s="3"/>
    </row>
    <row r="6" customFormat="false" ht="34.5" hidden="false" customHeight="true" outlineLevel="0" collapsed="false">
      <c r="A6" s="8" t="s">
        <v>328</v>
      </c>
      <c r="B6" s="9" t="s">
        <v>191</v>
      </c>
      <c r="C6" s="9" t="s">
        <v>329</v>
      </c>
      <c r="D6" s="9" t="s">
        <v>330</v>
      </c>
      <c r="E6" s="9" t="s">
        <v>331</v>
      </c>
      <c r="F6" s="9" t="s">
        <v>332</v>
      </c>
      <c r="G6" s="9" t="s">
        <v>330</v>
      </c>
      <c r="H6" s="9" t="s">
        <v>333</v>
      </c>
      <c r="I6" s="9" t="s">
        <v>334</v>
      </c>
      <c r="J6" s="9"/>
      <c r="K6" s="9" t="s">
        <v>335</v>
      </c>
      <c r="L6" s="9" t="s">
        <v>336</v>
      </c>
      <c r="M6" s="8" t="s">
        <v>63</v>
      </c>
      <c r="N6" s="9" t="s">
        <v>201</v>
      </c>
      <c r="O6" s="9" t="s">
        <v>337</v>
      </c>
      <c r="P6" s="9" t="s">
        <v>67</v>
      </c>
      <c r="Q6" s="9" t="s">
        <v>8</v>
      </c>
      <c r="R6" s="8" t="s">
        <v>14</v>
      </c>
      <c r="S6" s="9" t="s">
        <v>339</v>
      </c>
      <c r="T6" s="3"/>
      <c r="U6" s="3"/>
      <c r="V6" s="3"/>
      <c r="W6" s="3"/>
      <c r="X6" s="3"/>
      <c r="Y6" s="3"/>
    </row>
    <row r="7" customFormat="false" ht="34.5" hidden="false" customHeight="true" outlineLevel="0" collapsed="false">
      <c r="A7" s="8" t="s">
        <v>328</v>
      </c>
      <c r="B7" s="9" t="s">
        <v>53</v>
      </c>
      <c r="C7" s="9" t="s">
        <v>340</v>
      </c>
      <c r="D7" s="9" t="s">
        <v>341</v>
      </c>
      <c r="E7" s="9" t="s">
        <v>342</v>
      </c>
      <c r="F7" s="9" t="s">
        <v>343</v>
      </c>
      <c r="G7" s="9" t="s">
        <v>344</v>
      </c>
      <c r="H7" s="9" t="s">
        <v>345</v>
      </c>
      <c r="I7" s="9"/>
      <c r="J7" s="9"/>
      <c r="K7" s="9" t="s">
        <v>346</v>
      </c>
      <c r="L7" s="9" t="s">
        <v>346</v>
      </c>
      <c r="M7" s="8" t="s">
        <v>63</v>
      </c>
      <c r="N7" s="9" t="s">
        <v>64</v>
      </c>
      <c r="O7" s="9" t="s">
        <v>347</v>
      </c>
      <c r="P7" s="9" t="s">
        <v>67</v>
      </c>
      <c r="Q7" s="9" t="s">
        <v>8</v>
      </c>
      <c r="R7" s="8" t="s">
        <v>95</v>
      </c>
      <c r="S7" s="9" t="s">
        <v>349</v>
      </c>
      <c r="T7" s="3"/>
      <c r="U7" s="3"/>
      <c r="V7" s="3"/>
      <c r="W7" s="3"/>
      <c r="X7" s="3"/>
      <c r="Y7" s="3"/>
    </row>
    <row r="8" customFormat="false" ht="45.75" hidden="false" customHeight="true" outlineLevel="0" collapsed="false">
      <c r="A8" s="8" t="s">
        <v>328</v>
      </c>
      <c r="B8" s="9" t="s">
        <v>53</v>
      </c>
      <c r="C8" s="9" t="s">
        <v>340</v>
      </c>
      <c r="D8" s="9" t="s">
        <v>350</v>
      </c>
      <c r="E8" s="9" t="s">
        <v>351</v>
      </c>
      <c r="F8" s="9" t="s">
        <v>352</v>
      </c>
      <c r="G8" s="9" t="s">
        <v>353</v>
      </c>
      <c r="H8" s="9" t="s">
        <v>354</v>
      </c>
      <c r="I8" s="9" t="s">
        <v>334</v>
      </c>
      <c r="J8" s="9"/>
      <c r="K8" s="9" t="s">
        <v>336</v>
      </c>
      <c r="L8" s="9" t="s">
        <v>355</v>
      </c>
      <c r="M8" s="8" t="s">
        <v>63</v>
      </c>
      <c r="N8" s="9" t="s">
        <v>64</v>
      </c>
      <c r="O8" s="9" t="s">
        <v>356</v>
      </c>
      <c r="P8" s="9" t="s">
        <v>67</v>
      </c>
      <c r="Q8" s="9" t="s">
        <v>8</v>
      </c>
      <c r="R8" s="8" t="s">
        <v>95</v>
      </c>
      <c r="S8" s="9" t="s">
        <v>349</v>
      </c>
      <c r="T8" s="3"/>
      <c r="U8" s="3"/>
      <c r="V8" s="3"/>
      <c r="W8" s="3"/>
      <c r="X8" s="3"/>
      <c r="Y8" s="3"/>
    </row>
    <row r="9" customFormat="false" ht="34.5" hidden="false" customHeight="true" outlineLevel="0" collapsed="false">
      <c r="A9" s="8" t="s">
        <v>283</v>
      </c>
      <c r="B9" s="9" t="s">
        <v>15</v>
      </c>
      <c r="C9" s="9" t="s">
        <v>358</v>
      </c>
      <c r="D9" s="9" t="s">
        <v>359</v>
      </c>
      <c r="E9" s="9" t="s">
        <v>360</v>
      </c>
      <c r="F9" s="9" t="s">
        <v>361</v>
      </c>
      <c r="G9" s="9" t="s">
        <v>362</v>
      </c>
      <c r="H9" s="9" t="s">
        <v>363</v>
      </c>
      <c r="I9" s="9" t="s">
        <v>364</v>
      </c>
      <c r="J9" s="9" t="s">
        <v>365</v>
      </c>
      <c r="K9" s="9" t="s">
        <v>366</v>
      </c>
      <c r="L9" s="9" t="s">
        <v>366</v>
      </c>
      <c r="M9" s="8" t="s">
        <v>63</v>
      </c>
      <c r="N9" s="9" t="s">
        <v>188</v>
      </c>
      <c r="O9" s="9" t="s">
        <v>367</v>
      </c>
      <c r="P9" s="9" t="s">
        <v>80</v>
      </c>
      <c r="Q9" s="9" t="s">
        <v>81</v>
      </c>
      <c r="R9" s="8" t="s">
        <v>14</v>
      </c>
      <c r="S9" s="9" t="s">
        <v>369</v>
      </c>
      <c r="T9" s="3"/>
      <c r="U9" s="3"/>
      <c r="V9" s="3"/>
      <c r="W9" s="3"/>
      <c r="X9" s="3"/>
      <c r="Y9" s="3"/>
    </row>
    <row r="10" customFormat="false" ht="34.5" hidden="false" customHeight="true" outlineLevel="0" collapsed="false">
      <c r="A10" s="8" t="s">
        <v>370</v>
      </c>
      <c r="B10" s="9" t="s">
        <v>191</v>
      </c>
      <c r="C10" s="9" t="s">
        <v>371</v>
      </c>
      <c r="D10" s="9" t="s">
        <v>372</v>
      </c>
      <c r="E10" s="9" t="s">
        <v>373</v>
      </c>
      <c r="F10" s="9" t="s">
        <v>374</v>
      </c>
      <c r="G10" s="9" t="s">
        <v>375</v>
      </c>
      <c r="H10" s="9" t="s">
        <v>376</v>
      </c>
      <c r="I10" s="9"/>
      <c r="J10" s="9"/>
      <c r="K10" s="9" t="s">
        <v>377</v>
      </c>
      <c r="L10" s="9" t="s">
        <v>377</v>
      </c>
      <c r="M10" s="8" t="s">
        <v>63</v>
      </c>
      <c r="N10" s="9" t="s">
        <v>201</v>
      </c>
      <c r="O10" s="9" t="s">
        <v>378</v>
      </c>
      <c r="P10" s="9" t="s">
        <v>67</v>
      </c>
      <c r="Q10" s="9" t="s">
        <v>8</v>
      </c>
      <c r="R10" s="8" t="s">
        <v>68</v>
      </c>
      <c r="S10" s="9" t="s">
        <v>69</v>
      </c>
      <c r="T10" s="3"/>
      <c r="U10" s="3"/>
      <c r="V10" s="3"/>
      <c r="W10" s="3"/>
      <c r="X10" s="3"/>
      <c r="Y10" s="3"/>
    </row>
    <row r="11" customFormat="false" ht="34.5" hidden="false" customHeight="true" outlineLevel="0" collapsed="false">
      <c r="A11" s="8" t="s">
        <v>381</v>
      </c>
      <c r="B11" s="9" t="s">
        <v>191</v>
      </c>
      <c r="C11" s="9" t="s">
        <v>382</v>
      </c>
      <c r="D11" s="9" t="s">
        <v>359</v>
      </c>
      <c r="E11" s="9" t="s">
        <v>383</v>
      </c>
      <c r="F11" s="9" t="s">
        <v>384</v>
      </c>
      <c r="G11" s="9" t="s">
        <v>385</v>
      </c>
      <c r="H11" s="9" t="s">
        <v>386</v>
      </c>
      <c r="I11" s="9"/>
      <c r="J11" s="9"/>
      <c r="K11" s="9" t="s">
        <v>387</v>
      </c>
      <c r="L11" s="9" t="s">
        <v>388</v>
      </c>
      <c r="M11" s="8" t="s">
        <v>129</v>
      </c>
      <c r="N11" s="9" t="s">
        <v>201</v>
      </c>
      <c r="O11" s="9" t="s">
        <v>367</v>
      </c>
      <c r="P11" s="9" t="s">
        <v>80</v>
      </c>
      <c r="Q11" s="9" t="s">
        <v>81</v>
      </c>
      <c r="R11" s="8" t="s">
        <v>95</v>
      </c>
      <c r="S11" s="9" t="s">
        <v>390</v>
      </c>
      <c r="T11" s="3"/>
      <c r="U11" s="3"/>
      <c r="V11" s="3"/>
      <c r="W11" s="3"/>
      <c r="X11" s="3"/>
      <c r="Y11" s="3"/>
    </row>
    <row r="12" customFormat="false" ht="34.5" hidden="false" customHeight="true" outlineLevel="0" collapsed="false">
      <c r="A12" s="8" t="s">
        <v>283</v>
      </c>
      <c r="B12" s="9" t="s">
        <v>15</v>
      </c>
      <c r="C12" s="9" t="s">
        <v>391</v>
      </c>
      <c r="D12" s="9" t="s">
        <v>392</v>
      </c>
      <c r="E12" s="9" t="s">
        <v>393</v>
      </c>
      <c r="F12" s="9" t="s">
        <v>394</v>
      </c>
      <c r="G12" s="9" t="s">
        <v>395</v>
      </c>
      <c r="H12" s="9" t="s">
        <v>396</v>
      </c>
      <c r="I12" s="9"/>
      <c r="J12" s="9" t="s">
        <v>397</v>
      </c>
      <c r="K12" s="9" t="s">
        <v>398</v>
      </c>
      <c r="L12" s="9" t="s">
        <v>399</v>
      </c>
      <c r="M12" s="8" t="s">
        <v>63</v>
      </c>
      <c r="N12" s="9" t="s">
        <v>188</v>
      </c>
      <c r="O12" s="9" t="s">
        <v>400</v>
      </c>
      <c r="P12" s="9" t="s">
        <v>67</v>
      </c>
      <c r="Q12" s="9" t="s">
        <v>8</v>
      </c>
      <c r="R12" s="8" t="s">
        <v>95</v>
      </c>
      <c r="S12" s="9" t="s">
        <v>402</v>
      </c>
      <c r="T12" s="3"/>
      <c r="U12" s="3"/>
      <c r="V12" s="3"/>
      <c r="W12" s="3"/>
      <c r="X12" s="3"/>
      <c r="Y12" s="3"/>
    </row>
    <row r="13" customFormat="false" ht="34.5" hidden="false" customHeight="true" outlineLevel="0" collapsed="false">
      <c r="A13" s="8" t="s">
        <v>283</v>
      </c>
      <c r="B13" s="9" t="s">
        <v>53</v>
      </c>
      <c r="C13" s="9" t="s">
        <v>391</v>
      </c>
      <c r="D13" s="9" t="s">
        <v>403</v>
      </c>
      <c r="E13" s="9" t="s">
        <v>404</v>
      </c>
      <c r="F13" s="9" t="s">
        <v>405</v>
      </c>
      <c r="G13" s="9" t="s">
        <v>344</v>
      </c>
      <c r="H13" s="9" t="s">
        <v>406</v>
      </c>
      <c r="I13" s="9"/>
      <c r="J13" s="9" t="s">
        <v>407</v>
      </c>
      <c r="K13" s="9" t="s">
        <v>408</v>
      </c>
      <c r="L13" s="9" t="s">
        <v>408</v>
      </c>
      <c r="M13" s="8" t="s">
        <v>63</v>
      </c>
      <c r="N13" s="9" t="s">
        <v>64</v>
      </c>
      <c r="O13" s="9" t="s">
        <v>409</v>
      </c>
      <c r="P13" s="9" t="s">
        <v>67</v>
      </c>
      <c r="Q13" s="9" t="s">
        <v>8</v>
      </c>
      <c r="R13" s="8" t="s">
        <v>14</v>
      </c>
      <c r="S13" s="9" t="s">
        <v>411</v>
      </c>
      <c r="T13" s="3"/>
      <c r="U13" s="3"/>
      <c r="V13" s="3"/>
      <c r="W13" s="3"/>
      <c r="X13" s="3"/>
      <c r="Y13" s="3"/>
    </row>
    <row r="14" customFormat="false" ht="45.75" hidden="false" customHeight="true" outlineLevel="0" collapsed="false">
      <c r="A14" s="8" t="s">
        <v>370</v>
      </c>
      <c r="B14" s="9" t="s">
        <v>15</v>
      </c>
      <c r="C14" s="9" t="s">
        <v>412</v>
      </c>
      <c r="D14" s="9" t="s">
        <v>413</v>
      </c>
      <c r="E14" s="9" t="s">
        <v>414</v>
      </c>
      <c r="F14" s="9" t="s">
        <v>415</v>
      </c>
      <c r="G14" s="9" t="s">
        <v>416</v>
      </c>
      <c r="H14" s="9"/>
      <c r="I14" s="9"/>
      <c r="J14" s="9"/>
      <c r="K14" s="9" t="s">
        <v>417</v>
      </c>
      <c r="L14" s="9" t="s">
        <v>417</v>
      </c>
      <c r="M14" s="8" t="s">
        <v>129</v>
      </c>
      <c r="N14" s="9" t="s">
        <v>188</v>
      </c>
      <c r="O14" s="9" t="s">
        <v>418</v>
      </c>
      <c r="P14" s="9" t="s">
        <v>132</v>
      </c>
      <c r="Q14" s="9" t="s">
        <v>133</v>
      </c>
      <c r="R14" s="8" t="s">
        <v>790</v>
      </c>
      <c r="S14" s="9" t="s">
        <v>795</v>
      </c>
      <c r="T14" s="3"/>
      <c r="U14" s="3"/>
      <c r="V14" s="3"/>
      <c r="W14" s="3"/>
      <c r="X14" s="3"/>
      <c r="Y14" s="3"/>
    </row>
    <row r="15" customFormat="false" ht="34.5" hidden="false" customHeight="true" outlineLevel="0" collapsed="false">
      <c r="A15" s="8" t="s">
        <v>283</v>
      </c>
      <c r="B15" s="9" t="s">
        <v>15</v>
      </c>
      <c r="C15" s="9" t="s">
        <v>420</v>
      </c>
      <c r="D15" s="9" t="s">
        <v>421</v>
      </c>
      <c r="E15" s="9" t="s">
        <v>422</v>
      </c>
      <c r="F15" s="9" t="s">
        <v>423</v>
      </c>
      <c r="G15" s="9" t="s">
        <v>424</v>
      </c>
      <c r="H15" s="9" t="s">
        <v>425</v>
      </c>
      <c r="I15" s="9"/>
      <c r="J15" s="9"/>
      <c r="K15" s="9" t="s">
        <v>426</v>
      </c>
      <c r="L15" s="9" t="s">
        <v>426</v>
      </c>
      <c r="M15" s="8" t="s">
        <v>280</v>
      </c>
      <c r="N15" s="9" t="s">
        <v>188</v>
      </c>
      <c r="O15" s="9" t="s">
        <v>427</v>
      </c>
      <c r="P15" s="9" t="s">
        <v>67</v>
      </c>
      <c r="Q15" s="9" t="s">
        <v>8</v>
      </c>
      <c r="R15" s="8" t="s">
        <v>14</v>
      </c>
      <c r="S15" s="9" t="s">
        <v>429</v>
      </c>
      <c r="T15" s="3"/>
      <c r="U15" s="3"/>
      <c r="V15" s="3"/>
      <c r="W15" s="3"/>
      <c r="X15" s="3"/>
      <c r="Y15" s="3"/>
    </row>
    <row r="16" customFormat="false" ht="34.5" hidden="false" customHeight="true" outlineLevel="0" collapsed="false">
      <c r="A16" s="8" t="s">
        <v>283</v>
      </c>
      <c r="B16" s="9" t="s">
        <v>53</v>
      </c>
      <c r="C16" s="9" t="s">
        <v>430</v>
      </c>
      <c r="D16" s="9" t="s">
        <v>431</v>
      </c>
      <c r="E16" s="9" t="s">
        <v>432</v>
      </c>
      <c r="F16" s="9" t="s">
        <v>433</v>
      </c>
      <c r="G16" s="9" t="s">
        <v>434</v>
      </c>
      <c r="H16" s="9"/>
      <c r="I16" s="9"/>
      <c r="J16" s="9"/>
      <c r="K16" s="9" t="s">
        <v>435</v>
      </c>
      <c r="L16" s="9" t="s">
        <v>435</v>
      </c>
      <c r="M16" s="8" t="s">
        <v>129</v>
      </c>
      <c r="N16" s="9" t="s">
        <v>64</v>
      </c>
      <c r="O16" s="9" t="s">
        <v>436</v>
      </c>
      <c r="P16" s="9" t="s">
        <v>132</v>
      </c>
      <c r="Q16" s="9" t="s">
        <v>133</v>
      </c>
      <c r="R16" s="8" t="s">
        <v>790</v>
      </c>
      <c r="S16" s="9" t="s">
        <v>796</v>
      </c>
      <c r="T16" s="3"/>
      <c r="U16" s="3"/>
      <c r="V16" s="3"/>
      <c r="W16" s="3"/>
      <c r="X16" s="3"/>
      <c r="Y16" s="3"/>
    </row>
    <row r="17" customFormat="false" ht="34.5" hidden="false" customHeight="true" outlineLevel="0" collapsed="false">
      <c r="A17" s="8" t="s">
        <v>283</v>
      </c>
      <c r="B17" s="9" t="s">
        <v>53</v>
      </c>
      <c r="C17" s="9" t="s">
        <v>438</v>
      </c>
      <c r="D17" s="9" t="s">
        <v>439</v>
      </c>
      <c r="E17" s="9" t="s">
        <v>440</v>
      </c>
      <c r="F17" s="9" t="s">
        <v>441</v>
      </c>
      <c r="G17" s="9" t="s">
        <v>442</v>
      </c>
      <c r="H17" s="9"/>
      <c r="I17" s="9"/>
      <c r="J17" s="9"/>
      <c r="K17" s="9" t="s">
        <v>443</v>
      </c>
      <c r="L17" s="9" t="s">
        <v>444</v>
      </c>
      <c r="M17" s="8" t="s">
        <v>129</v>
      </c>
      <c r="N17" s="9" t="s">
        <v>64</v>
      </c>
      <c r="O17" s="9" t="s">
        <v>445</v>
      </c>
      <c r="P17" s="9" t="s">
        <v>132</v>
      </c>
      <c r="Q17" s="9" t="s">
        <v>133</v>
      </c>
      <c r="R17" s="8" t="s">
        <v>790</v>
      </c>
      <c r="S17" s="9" t="s">
        <v>797</v>
      </c>
      <c r="T17" s="3"/>
      <c r="U17" s="3"/>
      <c r="V17" s="3"/>
      <c r="W17" s="3"/>
      <c r="X17" s="3"/>
      <c r="Y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ustomFormat="false" ht="1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ustomFormat="false" ht="1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ustomFormat="false" ht="1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ustomFormat="false" ht="1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ustomFormat="false" ht="1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ustomFormat="false" ht="1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ustomFormat="false" ht="1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ustomFormat="false" ht="1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ustomFormat="false" ht="1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ustomFormat="false" ht="1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ustomFormat="false" ht="1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ustomFormat="false" ht="1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ustomFormat="false" ht="1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ustomFormat="false" ht="1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ustomFormat="false" ht="1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ustomFormat="false" ht="1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ustomFormat="false" ht="1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ustomFormat="false" ht="1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ustomFormat="false" ht="1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ustomFormat="false" ht="1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ustomFormat="false" ht="1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ustomFormat="false" ht="1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ustomFormat="false" ht="1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ustomFormat="false" ht="1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ustomFormat="false" ht="1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ustomFormat="false" ht="1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ustomFormat="false" ht="1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ustomFormat="false" ht="1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ustomFormat="false" ht="1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ustomFormat="false" ht="1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ustomFormat="false" ht="1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ustomFormat="false" ht="1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ustomFormat="false" ht="1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ustomFormat="false" ht="1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ustomFormat="false" ht="1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ustomFormat="false" ht="1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ustomFormat="false" ht="1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ustomFormat="false" ht="1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ustomFormat="false" ht="1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ustomFormat="false" ht="1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ustomFormat="false" ht="1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ustomFormat="false" ht="1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ustomFormat="false" ht="1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ustomFormat="false" ht="1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ustomFormat="false" ht="1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ustomFormat="false" ht="1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ustomFormat="false" ht="1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ustomFormat="false" ht="1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ustomFormat="false" ht="1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ustomFormat="false" ht="1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ustomFormat="false" ht="1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ustomFormat="false" ht="1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ustomFormat="false" ht="1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ustomFormat="false" ht="1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ustomFormat="false" ht="1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ustomFormat="false" ht="1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ustomFormat="false" ht="1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ustomFormat="false" ht="1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ustomFormat="false" ht="1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ustomFormat="false" ht="1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ustomFormat="false" ht="1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ustomFormat="false" ht="1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ustomFormat="false" ht="1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ustomFormat="false" ht="1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ustomFormat="false" ht="1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ustomFormat="false" ht="1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ustomFormat="false" ht="1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ustomFormat="false" ht="1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ustomFormat="false" ht="1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ustomFormat="false" ht="1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ustomFormat="false" ht="1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ustomFormat="false" ht="1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ustomFormat="false" ht="1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ustomFormat="false" ht="1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ustomFormat="false" ht="1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ustomFormat="false" ht="1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ustomFormat="false" ht="1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ustomFormat="false" ht="1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ustomFormat="false" ht="1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ustomFormat="false" ht="1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sheetData>
  <conditionalFormatting sqref="M2:M17">
    <cfRule type="expression" priority="2" aboveAverage="0" equalAverage="0" bottom="0" percent="0" rank="0" text="" dxfId="8">
      <formula>M2="A"</formula>
    </cfRule>
    <cfRule type="expression" priority="3" aboveAverage="0" equalAverage="0" bottom="0" percent="0" rank="0" text="" dxfId="9">
      <formula>M2="B"</formula>
    </cfRule>
    <cfRule type="expression" priority="4" aboveAverage="0" equalAverage="0" bottom="0" percent="0" rank="0" text="" dxfId="10">
      <formula>M2="C"</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3" min="2" style="1" width="31"/>
    <col collapsed="false" customWidth="true" hidden="false" outlineLevel="0" max="4" min="4" style="1" width="35"/>
    <col collapsed="false" customWidth="true" hidden="false" outlineLevel="0" max="5" min="5" style="1" width="48"/>
    <col collapsed="false" customWidth="true" hidden="false" outlineLevel="0" max="6" min="6" style="1" width="25"/>
    <col collapsed="false" customWidth="true" hidden="false" outlineLevel="0" max="7" min="7" style="1" width="29"/>
    <col collapsed="false" customWidth="true" hidden="false" outlineLevel="0" max="9" min="8" style="1" width="31"/>
    <col collapsed="false" customWidth="true" hidden="false" outlineLevel="0" max="10" min="10" style="1" width="19"/>
    <col collapsed="false" customWidth="true" hidden="false" outlineLevel="0" max="12" min="11" style="1" width="44"/>
    <col collapsed="false" customWidth="true" hidden="false" outlineLevel="0" max="13" min="13" style="1" width="8"/>
    <col collapsed="false" customWidth="true" hidden="false" outlineLevel="0" max="14" min="14" style="1" width="48"/>
    <col collapsed="false" customWidth="true" hidden="false" outlineLevel="0" max="15" min="15" style="1" width="47"/>
    <col collapsed="false" customWidth="true" hidden="false" outlineLevel="0" max="16" min="16" style="1" width="50"/>
    <col collapsed="false" customWidth="true" hidden="false" outlineLevel="0" max="17" min="17" style="1" width="31"/>
    <col collapsed="false" customWidth="true" hidden="false" outlineLevel="0" max="18" min="18" style="1" width="18"/>
    <col collapsed="false" customWidth="true" hidden="false" outlineLevel="0" max="19" min="19" style="1" width="40"/>
  </cols>
  <sheetData>
    <row r="1" customFormat="false" ht="36" hidden="false" customHeight="true" outlineLevel="0" collapsed="false">
      <c r="A1" s="7" t="s">
        <v>30</v>
      </c>
      <c r="B1" s="7" t="s">
        <v>31</v>
      </c>
      <c r="C1" s="7" t="s">
        <v>32</v>
      </c>
      <c r="D1" s="7" t="s">
        <v>33</v>
      </c>
      <c r="E1" s="7" t="s">
        <v>34</v>
      </c>
      <c r="F1" s="7" t="s">
        <v>35</v>
      </c>
      <c r="G1" s="7" t="s">
        <v>36</v>
      </c>
      <c r="H1" s="7" t="s">
        <v>37</v>
      </c>
      <c r="I1" s="7" t="s">
        <v>788</v>
      </c>
      <c r="J1" s="7" t="s">
        <v>39</v>
      </c>
      <c r="K1" s="7" t="s">
        <v>40</v>
      </c>
      <c r="L1" s="7" t="s">
        <v>41</v>
      </c>
      <c r="M1" s="7" t="s">
        <v>42</v>
      </c>
      <c r="N1" s="7" t="s">
        <v>43</v>
      </c>
      <c r="O1" s="7" t="s">
        <v>44</v>
      </c>
      <c r="P1" s="7" t="s">
        <v>46</v>
      </c>
      <c r="Q1" s="7" t="s">
        <v>47</v>
      </c>
      <c r="R1" s="7" t="s">
        <v>49</v>
      </c>
      <c r="S1" s="7" t="s">
        <v>51</v>
      </c>
      <c r="T1" s="3"/>
      <c r="U1" s="3"/>
      <c r="V1" s="3"/>
      <c r="W1" s="3"/>
      <c r="X1" s="3"/>
      <c r="Y1" s="3"/>
    </row>
    <row r="2" customFormat="false" ht="34.5" hidden="false" customHeight="true" outlineLevel="0" collapsed="false">
      <c r="A2" s="8" t="s">
        <v>447</v>
      </c>
      <c r="B2" s="9" t="s">
        <v>18</v>
      </c>
      <c r="C2" s="9" t="s">
        <v>448</v>
      </c>
      <c r="D2" s="9" t="s">
        <v>449</v>
      </c>
      <c r="E2" s="9" t="s">
        <v>450</v>
      </c>
      <c r="F2" s="9" t="s">
        <v>451</v>
      </c>
      <c r="G2" s="9" t="s">
        <v>452</v>
      </c>
      <c r="H2" s="9" t="s">
        <v>453</v>
      </c>
      <c r="I2" s="9" t="s">
        <v>454</v>
      </c>
      <c r="J2" s="9" t="s">
        <v>455</v>
      </c>
      <c r="K2" s="9" t="s">
        <v>456</v>
      </c>
      <c r="L2" s="9" t="s">
        <v>457</v>
      </c>
      <c r="M2" s="8" t="s">
        <v>63</v>
      </c>
      <c r="N2" s="9" t="s">
        <v>106</v>
      </c>
      <c r="O2" s="9" t="s">
        <v>458</v>
      </c>
      <c r="P2" s="9" t="s">
        <v>80</v>
      </c>
      <c r="Q2" s="9" t="s">
        <v>81</v>
      </c>
      <c r="R2" s="8" t="s">
        <v>14</v>
      </c>
      <c r="S2" s="9" t="s">
        <v>460</v>
      </c>
      <c r="T2" s="3"/>
      <c r="U2" s="3"/>
      <c r="V2" s="3"/>
      <c r="W2" s="3"/>
      <c r="X2" s="3"/>
      <c r="Y2" s="3"/>
    </row>
    <row r="3" customFormat="false" ht="34.5" hidden="false" customHeight="true" outlineLevel="0" collapsed="false">
      <c r="A3" s="8" t="s">
        <v>447</v>
      </c>
      <c r="B3" s="9" t="s">
        <v>18</v>
      </c>
      <c r="C3" s="9" t="s">
        <v>461</v>
      </c>
      <c r="D3" s="9" t="s">
        <v>462</v>
      </c>
      <c r="E3" s="9" t="s">
        <v>463</v>
      </c>
      <c r="F3" s="9" t="s">
        <v>464</v>
      </c>
      <c r="G3" s="9" t="s">
        <v>465</v>
      </c>
      <c r="H3" s="9" t="s">
        <v>466</v>
      </c>
      <c r="I3" s="9"/>
      <c r="J3" s="9" t="s">
        <v>467</v>
      </c>
      <c r="K3" s="9" t="s">
        <v>468</v>
      </c>
      <c r="L3" s="9" t="s">
        <v>469</v>
      </c>
      <c r="M3" s="8" t="s">
        <v>63</v>
      </c>
      <c r="N3" s="9" t="s">
        <v>106</v>
      </c>
      <c r="O3" s="9" t="s">
        <v>470</v>
      </c>
      <c r="P3" s="9" t="s">
        <v>67</v>
      </c>
      <c r="Q3" s="9" t="s">
        <v>8</v>
      </c>
      <c r="R3" s="8" t="s">
        <v>14</v>
      </c>
      <c r="S3" s="9" t="s">
        <v>472</v>
      </c>
      <c r="T3" s="3"/>
      <c r="U3" s="3"/>
      <c r="V3" s="3"/>
      <c r="W3" s="3"/>
      <c r="X3" s="3"/>
      <c r="Y3" s="3"/>
    </row>
    <row r="4" customFormat="false" ht="34.5" hidden="false" customHeight="true" outlineLevel="0" collapsed="false">
      <c r="A4" s="8" t="s">
        <v>447</v>
      </c>
      <c r="B4" s="9" t="s">
        <v>53</v>
      </c>
      <c r="C4" s="9" t="s">
        <v>473</v>
      </c>
      <c r="D4" s="9" t="s">
        <v>474</v>
      </c>
      <c r="E4" s="9" t="s">
        <v>475</v>
      </c>
      <c r="F4" s="9" t="s">
        <v>476</v>
      </c>
      <c r="G4" s="9" t="s">
        <v>477</v>
      </c>
      <c r="H4" s="9" t="s">
        <v>478</v>
      </c>
      <c r="I4" s="9"/>
      <c r="J4" s="9" t="s">
        <v>479</v>
      </c>
      <c r="K4" s="9" t="s">
        <v>480</v>
      </c>
      <c r="L4" s="9" t="s">
        <v>481</v>
      </c>
      <c r="M4" s="8" t="s">
        <v>63</v>
      </c>
      <c r="N4" s="9" t="s">
        <v>64</v>
      </c>
      <c r="O4" s="9" t="s">
        <v>482</v>
      </c>
      <c r="P4" s="9" t="s">
        <v>67</v>
      </c>
      <c r="Q4" s="9" t="s">
        <v>8</v>
      </c>
      <c r="R4" s="8" t="s">
        <v>14</v>
      </c>
      <c r="S4" s="9" t="s">
        <v>484</v>
      </c>
      <c r="T4" s="3"/>
      <c r="U4" s="3"/>
      <c r="V4" s="3"/>
      <c r="W4" s="3"/>
      <c r="X4" s="3"/>
      <c r="Y4" s="3"/>
    </row>
    <row r="5" customFormat="false" ht="34.5" hidden="false" customHeight="true" outlineLevel="0" collapsed="false">
      <c r="A5" s="8" t="s">
        <v>447</v>
      </c>
      <c r="B5" s="9" t="s">
        <v>18</v>
      </c>
      <c r="C5" s="9" t="s">
        <v>485</v>
      </c>
      <c r="D5" s="9" t="s">
        <v>486</v>
      </c>
      <c r="E5" s="9" t="s">
        <v>487</v>
      </c>
      <c r="F5" s="9" t="s">
        <v>488</v>
      </c>
      <c r="G5" s="9" t="s">
        <v>442</v>
      </c>
      <c r="H5" s="9" t="s">
        <v>489</v>
      </c>
      <c r="I5" s="9"/>
      <c r="J5" s="9"/>
      <c r="K5" s="9" t="s">
        <v>490</v>
      </c>
      <c r="L5" s="9" t="s">
        <v>491</v>
      </c>
      <c r="M5" s="8" t="s">
        <v>63</v>
      </c>
      <c r="N5" s="9" t="s">
        <v>106</v>
      </c>
      <c r="O5" s="9" t="s">
        <v>492</v>
      </c>
      <c r="P5" s="9" t="s">
        <v>67</v>
      </c>
      <c r="Q5" s="9" t="s">
        <v>8</v>
      </c>
      <c r="R5" s="8" t="s">
        <v>14</v>
      </c>
      <c r="S5" s="9" t="s">
        <v>494</v>
      </c>
      <c r="T5" s="3"/>
      <c r="U5" s="3"/>
      <c r="V5" s="3"/>
      <c r="W5" s="3"/>
      <c r="X5" s="3"/>
      <c r="Y5" s="3"/>
    </row>
    <row r="6" customFormat="false" ht="34.5" hidden="false" customHeight="true" outlineLevel="0" collapsed="false">
      <c r="A6" s="8" t="s">
        <v>447</v>
      </c>
      <c r="B6" s="9" t="s">
        <v>191</v>
      </c>
      <c r="C6" s="9" t="s">
        <v>495</v>
      </c>
      <c r="D6" s="9" t="s">
        <v>496</v>
      </c>
      <c r="E6" s="9" t="s">
        <v>497</v>
      </c>
      <c r="F6" s="9" t="s">
        <v>498</v>
      </c>
      <c r="G6" s="9" t="s">
        <v>499</v>
      </c>
      <c r="H6" s="9" t="s">
        <v>500</v>
      </c>
      <c r="I6" s="9" t="s">
        <v>501</v>
      </c>
      <c r="J6" s="9" t="s">
        <v>502</v>
      </c>
      <c r="K6" s="9" t="s">
        <v>503</v>
      </c>
      <c r="L6" s="9" t="s">
        <v>504</v>
      </c>
      <c r="M6" s="8" t="s">
        <v>63</v>
      </c>
      <c r="N6" s="9" t="s">
        <v>201</v>
      </c>
      <c r="O6" s="9" t="s">
        <v>505</v>
      </c>
      <c r="P6" s="9" t="s">
        <v>80</v>
      </c>
      <c r="Q6" s="9" t="s">
        <v>81</v>
      </c>
      <c r="R6" s="8" t="s">
        <v>14</v>
      </c>
      <c r="S6" s="9" t="s">
        <v>507</v>
      </c>
      <c r="T6" s="3"/>
      <c r="U6" s="3"/>
      <c r="V6" s="3"/>
      <c r="W6" s="3"/>
      <c r="X6" s="3"/>
      <c r="Y6" s="3"/>
    </row>
    <row r="7" customFormat="false" ht="34.5" hidden="false" customHeight="true" outlineLevel="0" collapsed="false">
      <c r="A7" s="8" t="s">
        <v>447</v>
      </c>
      <c r="B7" s="9" t="s">
        <v>53</v>
      </c>
      <c r="C7" s="9" t="s">
        <v>508</v>
      </c>
      <c r="D7" s="9" t="s">
        <v>509</v>
      </c>
      <c r="E7" s="9" t="s">
        <v>510</v>
      </c>
      <c r="F7" s="9" t="s">
        <v>511</v>
      </c>
      <c r="G7" s="9" t="s">
        <v>512</v>
      </c>
      <c r="H7" s="9" t="s">
        <v>513</v>
      </c>
      <c r="I7" s="9"/>
      <c r="J7" s="9"/>
      <c r="K7" s="9" t="s">
        <v>514</v>
      </c>
      <c r="L7" s="9" t="s">
        <v>514</v>
      </c>
      <c r="M7" s="8" t="s">
        <v>63</v>
      </c>
      <c r="N7" s="9" t="s">
        <v>64</v>
      </c>
      <c r="O7" s="9" t="s">
        <v>515</v>
      </c>
      <c r="P7" s="9" t="s">
        <v>67</v>
      </c>
      <c r="Q7" s="9" t="s">
        <v>8</v>
      </c>
      <c r="R7" s="8" t="s">
        <v>14</v>
      </c>
      <c r="S7" s="9" t="s">
        <v>517</v>
      </c>
      <c r="T7" s="3"/>
      <c r="U7" s="3"/>
      <c r="V7" s="3"/>
      <c r="W7" s="3"/>
      <c r="X7" s="3"/>
      <c r="Y7" s="3"/>
    </row>
    <row r="8" customFormat="false" ht="34.5" hidden="false" customHeight="true" outlineLevel="0" collapsed="false">
      <c r="A8" s="8" t="s">
        <v>519</v>
      </c>
      <c r="B8" s="9" t="s">
        <v>191</v>
      </c>
      <c r="C8" s="9" t="s">
        <v>520</v>
      </c>
      <c r="D8" s="9" t="s">
        <v>521</v>
      </c>
      <c r="E8" s="9" t="s">
        <v>522</v>
      </c>
      <c r="F8" s="9" t="s">
        <v>523</v>
      </c>
      <c r="G8" s="9" t="s">
        <v>521</v>
      </c>
      <c r="H8" s="9" t="s">
        <v>524</v>
      </c>
      <c r="I8" s="9" t="s">
        <v>525</v>
      </c>
      <c r="J8" s="9"/>
      <c r="K8" s="9" t="s">
        <v>526</v>
      </c>
      <c r="L8" s="9" t="s">
        <v>526</v>
      </c>
      <c r="M8" s="8" t="s">
        <v>63</v>
      </c>
      <c r="N8" s="9" t="s">
        <v>201</v>
      </c>
      <c r="O8" s="9" t="s">
        <v>527</v>
      </c>
      <c r="P8" s="9" t="s">
        <v>80</v>
      </c>
      <c r="Q8" s="9" t="s">
        <v>81</v>
      </c>
      <c r="R8" s="8" t="s">
        <v>14</v>
      </c>
      <c r="S8" s="9" t="s">
        <v>529</v>
      </c>
      <c r="T8" s="3"/>
      <c r="U8" s="3"/>
      <c r="V8" s="3"/>
      <c r="W8" s="3"/>
      <c r="X8" s="3"/>
      <c r="Y8" s="3"/>
    </row>
    <row r="9" customFormat="false" ht="34.5" hidden="false" customHeight="true" outlineLevel="0" collapsed="false">
      <c r="A9" s="8" t="s">
        <v>447</v>
      </c>
      <c r="B9" s="9" t="s">
        <v>191</v>
      </c>
      <c r="C9" s="9" t="s">
        <v>530</v>
      </c>
      <c r="D9" s="9" t="s">
        <v>531</v>
      </c>
      <c r="E9" s="9" t="s">
        <v>532</v>
      </c>
      <c r="F9" s="9" t="s">
        <v>533</v>
      </c>
      <c r="G9" s="9" t="s">
        <v>534</v>
      </c>
      <c r="H9" s="9" t="s">
        <v>535</v>
      </c>
      <c r="I9" s="9"/>
      <c r="J9" s="9"/>
      <c r="K9" s="9" t="s">
        <v>536</v>
      </c>
      <c r="L9" s="9" t="s">
        <v>536</v>
      </c>
      <c r="M9" s="8" t="s">
        <v>129</v>
      </c>
      <c r="N9" s="9" t="s">
        <v>201</v>
      </c>
      <c r="O9" s="9" t="s">
        <v>537</v>
      </c>
      <c r="P9" s="9" t="s">
        <v>80</v>
      </c>
      <c r="Q9" s="9" t="s">
        <v>81</v>
      </c>
      <c r="R9" s="8" t="s">
        <v>95</v>
      </c>
      <c r="S9" s="9" t="s">
        <v>539</v>
      </c>
      <c r="T9" s="3"/>
      <c r="U9" s="3"/>
      <c r="V9" s="3"/>
      <c r="W9" s="3"/>
      <c r="X9" s="3"/>
      <c r="Y9" s="3"/>
    </row>
    <row r="10" customFormat="false" ht="45.75" hidden="false" customHeight="true" outlineLevel="0" collapsed="false">
      <c r="A10" s="8" t="s">
        <v>447</v>
      </c>
      <c r="B10" s="9" t="s">
        <v>15</v>
      </c>
      <c r="C10" s="9" t="s">
        <v>540</v>
      </c>
      <c r="D10" s="9" t="s">
        <v>541</v>
      </c>
      <c r="E10" s="9" t="s">
        <v>542</v>
      </c>
      <c r="F10" s="9" t="s">
        <v>543</v>
      </c>
      <c r="G10" s="9" t="s">
        <v>544</v>
      </c>
      <c r="H10" s="9" t="s">
        <v>545</v>
      </c>
      <c r="I10" s="9"/>
      <c r="J10" s="9" t="s">
        <v>546</v>
      </c>
      <c r="K10" s="9" t="s">
        <v>547</v>
      </c>
      <c r="L10" s="9" t="s">
        <v>548</v>
      </c>
      <c r="M10" s="8" t="s">
        <v>129</v>
      </c>
      <c r="N10" s="9" t="s">
        <v>188</v>
      </c>
      <c r="O10" s="9" t="s">
        <v>549</v>
      </c>
      <c r="P10" s="9" t="s">
        <v>67</v>
      </c>
      <c r="Q10" s="9" t="s">
        <v>8</v>
      </c>
      <c r="R10" s="8" t="s">
        <v>95</v>
      </c>
      <c r="S10" s="9" t="s">
        <v>551</v>
      </c>
      <c r="T10" s="3"/>
      <c r="U10" s="3"/>
      <c r="V10" s="3"/>
      <c r="W10" s="3"/>
      <c r="X10" s="3"/>
      <c r="Y10" s="3"/>
    </row>
    <row r="11" customFormat="false" ht="34.5" hidden="false" customHeight="true" outlineLevel="0" collapsed="false">
      <c r="A11" s="8" t="s">
        <v>447</v>
      </c>
      <c r="B11" s="9" t="s">
        <v>15</v>
      </c>
      <c r="C11" s="9" t="s">
        <v>552</v>
      </c>
      <c r="D11" s="9" t="s">
        <v>553</v>
      </c>
      <c r="E11" s="9" t="s">
        <v>554</v>
      </c>
      <c r="F11" s="9" t="s">
        <v>555</v>
      </c>
      <c r="G11" s="9" t="s">
        <v>556</v>
      </c>
      <c r="H11" s="9" t="s">
        <v>557</v>
      </c>
      <c r="I11" s="9" t="s">
        <v>558</v>
      </c>
      <c r="J11" s="9"/>
      <c r="K11" s="9" t="s">
        <v>559</v>
      </c>
      <c r="L11" s="9" t="s">
        <v>560</v>
      </c>
      <c r="M11" s="8" t="s">
        <v>129</v>
      </c>
      <c r="N11" s="9" t="s">
        <v>188</v>
      </c>
      <c r="O11" s="9" t="s">
        <v>561</v>
      </c>
      <c r="P11" s="9" t="s">
        <v>67</v>
      </c>
      <c r="Q11" s="9" t="s">
        <v>8</v>
      </c>
      <c r="R11" s="8" t="s">
        <v>95</v>
      </c>
      <c r="S11" s="9" t="s">
        <v>563</v>
      </c>
      <c r="T11" s="3"/>
      <c r="U11" s="3"/>
      <c r="V11" s="3"/>
      <c r="W11" s="3"/>
      <c r="X11" s="3"/>
      <c r="Y11" s="3"/>
    </row>
    <row r="12" customFormat="false" ht="34.5" hidden="false" customHeight="true" outlineLevel="0" collapsed="false">
      <c r="A12" s="8" t="s">
        <v>565</v>
      </c>
      <c r="B12" s="9" t="s">
        <v>191</v>
      </c>
      <c r="C12" s="9" t="s">
        <v>566</v>
      </c>
      <c r="D12" s="9" t="s">
        <v>567</v>
      </c>
      <c r="E12" s="9" t="s">
        <v>568</v>
      </c>
      <c r="F12" s="9" t="s">
        <v>569</v>
      </c>
      <c r="G12" s="9" t="s">
        <v>570</v>
      </c>
      <c r="H12" s="9" t="s">
        <v>571</v>
      </c>
      <c r="I12" s="9"/>
      <c r="J12" s="9"/>
      <c r="K12" s="9" t="s">
        <v>572</v>
      </c>
      <c r="L12" s="9" t="s">
        <v>572</v>
      </c>
      <c r="M12" s="8" t="s">
        <v>280</v>
      </c>
      <c r="N12" s="9" t="s">
        <v>201</v>
      </c>
      <c r="O12" s="9" t="s">
        <v>573</v>
      </c>
      <c r="P12" s="9" t="s">
        <v>67</v>
      </c>
      <c r="Q12" s="9" t="s">
        <v>8</v>
      </c>
      <c r="R12" s="8" t="s">
        <v>95</v>
      </c>
      <c r="S12" s="9" t="s">
        <v>575</v>
      </c>
      <c r="T12" s="3"/>
      <c r="U12" s="3"/>
      <c r="V12" s="3"/>
      <c r="W12" s="3"/>
      <c r="X12" s="3"/>
      <c r="Y12" s="3"/>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ustomFormat="false" ht="1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ustomFormat="false" ht="1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ustomFormat="false" ht="1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ustomFormat="false" ht="1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ustomFormat="false" ht="1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ustomFormat="false" ht="1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ustomFormat="false" ht="1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ustomFormat="false" ht="1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ustomFormat="false" ht="1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ustomFormat="false" ht="1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ustomFormat="false" ht="1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ustomFormat="false" ht="1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ustomFormat="false" ht="1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ustomFormat="false" ht="1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ustomFormat="false" ht="1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ustomFormat="false" ht="1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ustomFormat="false" ht="1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ustomFormat="false" ht="1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ustomFormat="false" ht="1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ustomFormat="false" ht="1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ustomFormat="false" ht="1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ustomFormat="false" ht="1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ustomFormat="false" ht="1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ustomFormat="false" ht="1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ustomFormat="false" ht="1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ustomFormat="false" ht="1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ustomFormat="false" ht="1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ustomFormat="false" ht="1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ustomFormat="false" ht="1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ustomFormat="false" ht="1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ustomFormat="false" ht="1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ustomFormat="false" ht="1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ustomFormat="false" ht="1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ustomFormat="false" ht="1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ustomFormat="false" ht="1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ustomFormat="false" ht="1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ustomFormat="false" ht="1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ustomFormat="false" ht="1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ustomFormat="false" ht="1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ustomFormat="false" ht="1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ustomFormat="false" ht="1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ustomFormat="false" ht="1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ustomFormat="false" ht="1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ustomFormat="false" ht="1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ustomFormat="false" ht="1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ustomFormat="false" ht="1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ustomFormat="false" ht="1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ustomFormat="false" ht="1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ustomFormat="false" ht="1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ustomFormat="false" ht="1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ustomFormat="false" ht="1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ustomFormat="false" ht="1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ustomFormat="false" ht="1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ustomFormat="false" ht="1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ustomFormat="false" ht="1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ustomFormat="false" ht="1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ustomFormat="false" ht="1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ustomFormat="false" ht="1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ustomFormat="false" ht="1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ustomFormat="false" ht="1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ustomFormat="false" ht="1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ustomFormat="false" ht="1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ustomFormat="false" ht="1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ustomFormat="false" ht="1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ustomFormat="false" ht="1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ustomFormat="false" ht="1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ustomFormat="false" ht="1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ustomFormat="false" ht="1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ustomFormat="false" ht="1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ustomFormat="false" ht="1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ustomFormat="false" ht="1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ustomFormat="false" ht="1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ustomFormat="false" ht="1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ustomFormat="false" ht="1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ustomFormat="false" ht="1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ustomFormat="false" ht="1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ustomFormat="false" ht="1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ustomFormat="false" ht="1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ustomFormat="false" ht="1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ustomFormat="false" ht="1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sheetData>
  <conditionalFormatting sqref="M2:M12">
    <cfRule type="expression" priority="2" aboveAverage="0" equalAverage="0" bottom="0" percent="0" rank="0" text="" dxfId="8">
      <formula>M2="A"</formula>
    </cfRule>
    <cfRule type="expression" priority="3" aboveAverage="0" equalAverage="0" bottom="0" percent="0" rank="0" text="" dxfId="9">
      <formula>M2="B"</formula>
    </cfRule>
    <cfRule type="expression" priority="4" aboveAverage="0" equalAverage="0" bottom="0" percent="0" rank="0" text="" dxfId="10">
      <formula>M2="C"</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3" min="2" style="1" width="31"/>
    <col collapsed="false" customWidth="true" hidden="false" outlineLevel="0" max="4" min="4" style="1" width="35"/>
    <col collapsed="false" customWidth="true" hidden="false" outlineLevel="0" max="5" min="5" style="1" width="48"/>
    <col collapsed="false" customWidth="true" hidden="false" outlineLevel="0" max="6" min="6" style="1" width="25"/>
    <col collapsed="false" customWidth="true" hidden="false" outlineLevel="0" max="7" min="7" style="1" width="29"/>
    <col collapsed="false" customWidth="true" hidden="false" outlineLevel="0" max="9" min="8" style="1" width="31"/>
    <col collapsed="false" customWidth="true" hidden="false" outlineLevel="0" max="10" min="10" style="1" width="19"/>
    <col collapsed="false" customWidth="true" hidden="false" outlineLevel="0" max="12" min="11" style="1" width="44"/>
    <col collapsed="false" customWidth="true" hidden="false" outlineLevel="0" max="13" min="13" style="1" width="8"/>
    <col collapsed="false" customWidth="true" hidden="false" outlineLevel="0" max="14" min="14" style="1" width="48"/>
    <col collapsed="false" customWidth="true" hidden="false" outlineLevel="0" max="15" min="15" style="1" width="47"/>
    <col collapsed="false" customWidth="true" hidden="false" outlineLevel="0" max="16" min="16" style="1" width="50"/>
    <col collapsed="false" customWidth="true" hidden="false" outlineLevel="0" max="17" min="17" style="1" width="31"/>
    <col collapsed="false" customWidth="true" hidden="false" outlineLevel="0" max="18" min="18" style="1" width="18"/>
    <col collapsed="false" customWidth="true" hidden="false" outlineLevel="0" max="19" min="19" style="1" width="40"/>
  </cols>
  <sheetData>
    <row r="1" customFormat="false" ht="36" hidden="false" customHeight="true" outlineLevel="0" collapsed="false">
      <c r="A1" s="7" t="s">
        <v>30</v>
      </c>
      <c r="B1" s="7" t="s">
        <v>31</v>
      </c>
      <c r="C1" s="7" t="s">
        <v>32</v>
      </c>
      <c r="D1" s="7" t="s">
        <v>33</v>
      </c>
      <c r="E1" s="7" t="s">
        <v>34</v>
      </c>
      <c r="F1" s="7" t="s">
        <v>35</v>
      </c>
      <c r="G1" s="7" t="s">
        <v>36</v>
      </c>
      <c r="H1" s="7" t="s">
        <v>37</v>
      </c>
      <c r="I1" s="7" t="s">
        <v>788</v>
      </c>
      <c r="J1" s="7" t="s">
        <v>39</v>
      </c>
      <c r="K1" s="7" t="s">
        <v>40</v>
      </c>
      <c r="L1" s="7" t="s">
        <v>41</v>
      </c>
      <c r="M1" s="7" t="s">
        <v>42</v>
      </c>
      <c r="N1" s="7" t="s">
        <v>43</v>
      </c>
      <c r="O1" s="7" t="s">
        <v>44</v>
      </c>
      <c r="P1" s="7" t="s">
        <v>46</v>
      </c>
      <c r="Q1" s="7" t="s">
        <v>47</v>
      </c>
      <c r="R1" s="7" t="s">
        <v>49</v>
      </c>
      <c r="S1" s="7" t="s">
        <v>51</v>
      </c>
      <c r="T1" s="3"/>
      <c r="U1" s="3"/>
      <c r="V1" s="3"/>
      <c r="W1" s="3"/>
      <c r="X1" s="3"/>
      <c r="Y1" s="3"/>
    </row>
    <row r="2" customFormat="false" ht="34.5" hidden="false" customHeight="true" outlineLevel="0" collapsed="false">
      <c r="A2" s="8" t="s">
        <v>577</v>
      </c>
      <c r="B2" s="9" t="s">
        <v>18</v>
      </c>
      <c r="C2" s="9" t="s">
        <v>578</v>
      </c>
      <c r="D2" s="9" t="s">
        <v>579</v>
      </c>
      <c r="E2" s="9" t="s">
        <v>580</v>
      </c>
      <c r="F2" s="9" t="s">
        <v>581</v>
      </c>
      <c r="G2" s="9" t="s">
        <v>582</v>
      </c>
      <c r="H2" s="9" t="s">
        <v>583</v>
      </c>
      <c r="I2" s="9"/>
      <c r="J2" s="9" t="s">
        <v>584</v>
      </c>
      <c r="K2" s="9" t="s">
        <v>585</v>
      </c>
      <c r="L2" s="9" t="s">
        <v>586</v>
      </c>
      <c r="M2" s="8" t="s">
        <v>63</v>
      </c>
      <c r="N2" s="9" t="s">
        <v>106</v>
      </c>
      <c r="O2" s="9" t="s">
        <v>587</v>
      </c>
      <c r="P2" s="9" t="s">
        <v>67</v>
      </c>
      <c r="Q2" s="9" t="s">
        <v>8</v>
      </c>
      <c r="R2" s="8" t="s">
        <v>14</v>
      </c>
      <c r="S2" s="9" t="s">
        <v>589</v>
      </c>
      <c r="T2" s="3"/>
      <c r="U2" s="3"/>
      <c r="V2" s="3"/>
      <c r="W2" s="3"/>
      <c r="X2" s="3"/>
      <c r="Y2" s="3"/>
    </row>
    <row r="3" customFormat="false" ht="34.5" hidden="false" customHeight="true" outlineLevel="0" collapsed="false">
      <c r="A3" s="8" t="s">
        <v>577</v>
      </c>
      <c r="B3" s="9" t="s">
        <v>191</v>
      </c>
      <c r="C3" s="9" t="s">
        <v>590</v>
      </c>
      <c r="D3" s="9" t="s">
        <v>591</v>
      </c>
      <c r="E3" s="9" t="s">
        <v>592</v>
      </c>
      <c r="F3" s="9" t="s">
        <v>593</v>
      </c>
      <c r="G3" s="9" t="s">
        <v>594</v>
      </c>
      <c r="H3" s="9" t="s">
        <v>595</v>
      </c>
      <c r="I3" s="9"/>
      <c r="J3" s="9" t="s">
        <v>596</v>
      </c>
      <c r="K3" s="9" t="s">
        <v>597</v>
      </c>
      <c r="L3" s="9" t="s">
        <v>598</v>
      </c>
      <c r="M3" s="8" t="s">
        <v>63</v>
      </c>
      <c r="N3" s="9" t="s">
        <v>201</v>
      </c>
      <c r="O3" s="9" t="s">
        <v>599</v>
      </c>
      <c r="P3" s="9" t="s">
        <v>67</v>
      </c>
      <c r="Q3" s="9" t="s">
        <v>8</v>
      </c>
      <c r="R3" s="8" t="s">
        <v>14</v>
      </c>
      <c r="S3" s="9" t="s">
        <v>601</v>
      </c>
      <c r="T3" s="3"/>
      <c r="U3" s="3"/>
      <c r="V3" s="3"/>
      <c r="W3" s="3"/>
      <c r="X3" s="3"/>
      <c r="Y3" s="3"/>
    </row>
    <row r="4" customFormat="false" ht="34.5" hidden="false" customHeight="true" outlineLevel="0" collapsed="false">
      <c r="A4" s="8" t="s">
        <v>603</v>
      </c>
      <c r="B4" s="9" t="s">
        <v>15</v>
      </c>
      <c r="C4" s="9" t="s">
        <v>604</v>
      </c>
      <c r="D4" s="9" t="s">
        <v>605</v>
      </c>
      <c r="E4" s="9" t="s">
        <v>606</v>
      </c>
      <c r="F4" s="9" t="s">
        <v>607</v>
      </c>
      <c r="G4" s="9" t="s">
        <v>608</v>
      </c>
      <c r="H4" s="9"/>
      <c r="I4" s="9"/>
      <c r="J4" s="9"/>
      <c r="K4" s="9" t="s">
        <v>609</v>
      </c>
      <c r="L4" s="9" t="s">
        <v>610</v>
      </c>
      <c r="M4" s="8" t="s">
        <v>129</v>
      </c>
      <c r="N4" s="9" t="s">
        <v>188</v>
      </c>
      <c r="O4" s="9" t="s">
        <v>611</v>
      </c>
      <c r="P4" s="9" t="s">
        <v>132</v>
      </c>
      <c r="Q4" s="9" t="s">
        <v>133</v>
      </c>
      <c r="R4" s="8" t="s">
        <v>790</v>
      </c>
      <c r="S4" s="9" t="s">
        <v>798</v>
      </c>
      <c r="T4" s="3"/>
      <c r="U4" s="3"/>
      <c r="V4" s="3"/>
      <c r="W4" s="3"/>
      <c r="X4" s="3"/>
      <c r="Y4" s="3"/>
    </row>
    <row r="5" customFormat="false" ht="45.75" hidden="false" customHeight="true" outlineLevel="0" collapsed="false">
      <c r="A5" s="8" t="s">
        <v>614</v>
      </c>
      <c r="B5" s="9" t="s">
        <v>15</v>
      </c>
      <c r="C5" s="9" t="s">
        <v>615</v>
      </c>
      <c r="D5" s="9" t="s">
        <v>616</v>
      </c>
      <c r="E5" s="9" t="s">
        <v>617</v>
      </c>
      <c r="F5" s="9" t="s">
        <v>618</v>
      </c>
      <c r="G5" s="9" t="s">
        <v>619</v>
      </c>
      <c r="H5" s="9" t="s">
        <v>620</v>
      </c>
      <c r="I5" s="9" t="s">
        <v>621</v>
      </c>
      <c r="J5" s="9" t="s">
        <v>622</v>
      </c>
      <c r="K5" s="9" t="s">
        <v>623</v>
      </c>
      <c r="L5" s="9" t="s">
        <v>624</v>
      </c>
      <c r="M5" s="8" t="s">
        <v>129</v>
      </c>
      <c r="N5" s="9" t="s">
        <v>188</v>
      </c>
      <c r="O5" s="9" t="s">
        <v>625</v>
      </c>
      <c r="P5" s="9" t="s">
        <v>67</v>
      </c>
      <c r="Q5" s="9" t="s">
        <v>8</v>
      </c>
      <c r="R5" s="8" t="s">
        <v>95</v>
      </c>
      <c r="S5" s="9" t="s">
        <v>627</v>
      </c>
      <c r="T5" s="3"/>
      <c r="U5" s="3"/>
      <c r="V5" s="3"/>
      <c r="W5" s="3"/>
      <c r="X5" s="3"/>
      <c r="Y5" s="3"/>
    </row>
    <row r="6" customFormat="false" ht="34.5" hidden="false" customHeight="true" outlineLevel="0" collapsed="false">
      <c r="A6" s="8" t="s">
        <v>628</v>
      </c>
      <c r="B6" s="9" t="s">
        <v>15</v>
      </c>
      <c r="C6" s="9" t="s">
        <v>629</v>
      </c>
      <c r="D6" s="9" t="s">
        <v>630</v>
      </c>
      <c r="E6" s="9" t="s">
        <v>631</v>
      </c>
      <c r="F6" s="9" t="s">
        <v>632</v>
      </c>
      <c r="G6" s="9" t="s">
        <v>633</v>
      </c>
      <c r="H6" s="9" t="s">
        <v>634</v>
      </c>
      <c r="I6" s="9" t="s">
        <v>635</v>
      </c>
      <c r="J6" s="9"/>
      <c r="K6" s="9" t="s">
        <v>636</v>
      </c>
      <c r="L6" s="9" t="s">
        <v>636</v>
      </c>
      <c r="M6" s="8" t="s">
        <v>63</v>
      </c>
      <c r="N6" s="9" t="s">
        <v>188</v>
      </c>
      <c r="O6" s="9" t="s">
        <v>637</v>
      </c>
      <c r="P6" s="9" t="s">
        <v>80</v>
      </c>
      <c r="Q6" s="9" t="s">
        <v>81</v>
      </c>
      <c r="R6" s="8" t="s">
        <v>14</v>
      </c>
      <c r="S6" s="9" t="s">
        <v>639</v>
      </c>
      <c r="T6" s="3"/>
      <c r="U6" s="3"/>
      <c r="V6" s="3"/>
      <c r="W6" s="3"/>
      <c r="X6" s="3"/>
      <c r="Y6" s="3"/>
    </row>
    <row r="7" customFormat="false" ht="34.5" hidden="false" customHeight="true" outlineLevel="0" collapsed="false">
      <c r="A7" s="8" t="s">
        <v>577</v>
      </c>
      <c r="B7" s="9" t="s">
        <v>53</v>
      </c>
      <c r="C7" s="9" t="s">
        <v>640</v>
      </c>
      <c r="D7" s="9" t="s">
        <v>641</v>
      </c>
      <c r="E7" s="9" t="s">
        <v>642</v>
      </c>
      <c r="F7" s="9" t="s">
        <v>643</v>
      </c>
      <c r="G7" s="9" t="s">
        <v>644</v>
      </c>
      <c r="H7" s="9" t="s">
        <v>645</v>
      </c>
      <c r="I7" s="9"/>
      <c r="J7" s="9" t="s">
        <v>646</v>
      </c>
      <c r="K7" s="9" t="s">
        <v>647</v>
      </c>
      <c r="L7" s="9" t="s">
        <v>647</v>
      </c>
      <c r="M7" s="8" t="s">
        <v>63</v>
      </c>
      <c r="N7" s="9" t="s">
        <v>64</v>
      </c>
      <c r="O7" s="9" t="s">
        <v>648</v>
      </c>
      <c r="P7" s="9" t="s">
        <v>67</v>
      </c>
      <c r="Q7" s="9" t="s">
        <v>8</v>
      </c>
      <c r="R7" s="8" t="s">
        <v>68</v>
      </c>
      <c r="S7" s="9" t="s">
        <v>69</v>
      </c>
      <c r="T7" s="3"/>
      <c r="U7" s="3"/>
      <c r="V7" s="3"/>
      <c r="W7" s="3"/>
      <c r="X7" s="3"/>
      <c r="Y7" s="3"/>
    </row>
    <row r="8" customFormat="false" ht="34.5" hidden="false" customHeight="true" outlineLevel="0" collapsed="false">
      <c r="A8" s="8" t="s">
        <v>577</v>
      </c>
      <c r="B8" s="9" t="s">
        <v>53</v>
      </c>
      <c r="C8" s="9" t="s">
        <v>650</v>
      </c>
      <c r="D8" s="9" t="s">
        <v>285</v>
      </c>
      <c r="E8" s="9" t="s">
        <v>651</v>
      </c>
      <c r="F8" s="9" t="s">
        <v>652</v>
      </c>
      <c r="G8" s="9" t="s">
        <v>126</v>
      </c>
      <c r="H8" s="9" t="s">
        <v>653</v>
      </c>
      <c r="I8" s="9"/>
      <c r="J8" s="9" t="s">
        <v>654</v>
      </c>
      <c r="K8" s="9" t="s">
        <v>655</v>
      </c>
      <c r="L8" s="9" t="s">
        <v>656</v>
      </c>
      <c r="M8" s="8" t="s">
        <v>63</v>
      </c>
      <c r="N8" s="9" t="s">
        <v>64</v>
      </c>
      <c r="O8" s="9" t="s">
        <v>657</v>
      </c>
      <c r="P8" s="9" t="s">
        <v>80</v>
      </c>
      <c r="Q8" s="9" t="s">
        <v>81</v>
      </c>
      <c r="R8" s="8" t="s">
        <v>14</v>
      </c>
      <c r="S8" s="9" t="s">
        <v>659</v>
      </c>
      <c r="T8" s="3"/>
      <c r="U8" s="3"/>
      <c r="V8" s="3"/>
      <c r="W8" s="3"/>
      <c r="X8" s="3"/>
      <c r="Y8" s="3"/>
    </row>
    <row r="9" customFormat="false" ht="34.5" hidden="false" customHeight="true" outlineLevel="0" collapsed="false">
      <c r="A9" s="8" t="s">
        <v>577</v>
      </c>
      <c r="B9" s="9" t="s">
        <v>18</v>
      </c>
      <c r="C9" s="9" t="s">
        <v>660</v>
      </c>
      <c r="D9" s="9" t="s">
        <v>661</v>
      </c>
      <c r="E9" s="9" t="s">
        <v>662</v>
      </c>
      <c r="F9" s="9" t="s">
        <v>663</v>
      </c>
      <c r="G9" s="9" t="s">
        <v>664</v>
      </c>
      <c r="H9" s="9" t="s">
        <v>665</v>
      </c>
      <c r="I9" s="9"/>
      <c r="J9" s="9"/>
      <c r="K9" s="9" t="s">
        <v>666</v>
      </c>
      <c r="L9" s="9" t="s">
        <v>667</v>
      </c>
      <c r="M9" s="8" t="s">
        <v>63</v>
      </c>
      <c r="N9" s="9" t="s">
        <v>106</v>
      </c>
      <c r="O9" s="9" t="s">
        <v>668</v>
      </c>
      <c r="P9" s="9" t="s">
        <v>67</v>
      </c>
      <c r="Q9" s="9" t="s">
        <v>8</v>
      </c>
      <c r="R9" s="8" t="s">
        <v>14</v>
      </c>
      <c r="S9" s="9" t="s">
        <v>670</v>
      </c>
      <c r="T9" s="3"/>
      <c r="U9" s="3"/>
      <c r="V9" s="3"/>
      <c r="W9" s="3"/>
      <c r="X9" s="3"/>
      <c r="Y9" s="3"/>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row>
    <row r="11" customFormat="false" ht="1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ustomFormat="false" ht="1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ustomFormat="false" ht="1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ustomFormat="false" ht="1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ustomFormat="false" ht="1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ustomFormat="false" ht="1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ustomFormat="false" ht="1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ustomFormat="false" ht="1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ustomFormat="false" ht="1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ustomFormat="false" ht="1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ustomFormat="false" ht="1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ustomFormat="false" ht="1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ustomFormat="false" ht="1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ustomFormat="false" ht="1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ustomFormat="false" ht="1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ustomFormat="false" ht="1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ustomFormat="false" ht="1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ustomFormat="false" ht="1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ustomFormat="false" ht="1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ustomFormat="false" ht="1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ustomFormat="false" ht="1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ustomFormat="false" ht="1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ustomFormat="false" ht="1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ustomFormat="false" ht="1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ustomFormat="false" ht="1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ustomFormat="false" ht="1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ustomFormat="false" ht="1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ustomFormat="false" ht="1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ustomFormat="false" ht="1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ustomFormat="false" ht="1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ustomFormat="false" ht="1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ustomFormat="false" ht="1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ustomFormat="false" ht="1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ustomFormat="false" ht="1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ustomFormat="false" ht="1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ustomFormat="false" ht="1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ustomFormat="false" ht="1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ustomFormat="false" ht="1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ustomFormat="false" ht="1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ustomFormat="false" ht="1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ustomFormat="false" ht="1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ustomFormat="false" ht="1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ustomFormat="false" ht="1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ustomFormat="false" ht="1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ustomFormat="false" ht="1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ustomFormat="false" ht="1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ustomFormat="false" ht="1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ustomFormat="false" ht="1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ustomFormat="false" ht="1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ustomFormat="false" ht="1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ustomFormat="false" ht="1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ustomFormat="false" ht="1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ustomFormat="false" ht="1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ustomFormat="false" ht="1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ustomFormat="false" ht="1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ustomFormat="false" ht="1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ustomFormat="false" ht="1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ustomFormat="false" ht="1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ustomFormat="false" ht="1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ustomFormat="false" ht="1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ustomFormat="false" ht="1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ustomFormat="false" ht="1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ustomFormat="false" ht="1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ustomFormat="false" ht="1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ustomFormat="false" ht="1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ustomFormat="false" ht="1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ustomFormat="false" ht="1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ustomFormat="false" ht="1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ustomFormat="false" ht="1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ustomFormat="false" ht="1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ustomFormat="false" ht="1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ustomFormat="false" ht="1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ustomFormat="false" ht="1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ustomFormat="false" ht="1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ustomFormat="false" ht="1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ustomFormat="false" ht="1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ustomFormat="false" ht="1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ustomFormat="false" ht="1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ustomFormat="false" ht="1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ustomFormat="false" ht="1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ustomFormat="false" ht="1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sheetData>
  <conditionalFormatting sqref="M2:M9">
    <cfRule type="expression" priority="2" aboveAverage="0" equalAverage="0" bottom="0" percent="0" rank="0" text="" dxfId="8">
      <formula>M2="A"</formula>
    </cfRule>
    <cfRule type="expression" priority="3" aboveAverage="0" equalAverage="0" bottom="0" percent="0" rank="0" text="" dxfId="9">
      <formula>M2="B"</formula>
    </cfRule>
    <cfRule type="expression" priority="4" aboveAverage="0" equalAverage="0" bottom="0" percent="0" rank="0" text="" dxfId="10">
      <formula>M2="C"</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3" min="2" style="1" width="31"/>
    <col collapsed="false" customWidth="true" hidden="false" outlineLevel="0" max="4" min="4" style="1" width="35"/>
    <col collapsed="false" customWidth="true" hidden="false" outlineLevel="0" max="5" min="5" style="1" width="48"/>
    <col collapsed="false" customWidth="true" hidden="false" outlineLevel="0" max="6" min="6" style="1" width="25"/>
    <col collapsed="false" customWidth="true" hidden="false" outlineLevel="0" max="7" min="7" style="1" width="29"/>
    <col collapsed="false" customWidth="true" hidden="false" outlineLevel="0" max="9" min="8" style="1" width="31"/>
    <col collapsed="false" customWidth="true" hidden="false" outlineLevel="0" max="10" min="10" style="1" width="19"/>
    <col collapsed="false" customWidth="true" hidden="false" outlineLevel="0" max="12" min="11" style="1" width="44"/>
    <col collapsed="false" customWidth="true" hidden="false" outlineLevel="0" max="13" min="13" style="1" width="8"/>
    <col collapsed="false" customWidth="true" hidden="false" outlineLevel="0" max="14" min="14" style="1" width="48"/>
    <col collapsed="false" customWidth="true" hidden="false" outlineLevel="0" max="15" min="15" style="1" width="47"/>
    <col collapsed="false" customWidth="true" hidden="false" outlineLevel="0" max="16" min="16" style="1" width="50"/>
    <col collapsed="false" customWidth="true" hidden="false" outlineLevel="0" max="17" min="17" style="1" width="31"/>
    <col collapsed="false" customWidth="true" hidden="false" outlineLevel="0" max="18" min="18" style="1" width="18"/>
    <col collapsed="false" customWidth="true" hidden="false" outlineLevel="0" max="19" min="19" style="1" width="40"/>
  </cols>
  <sheetData>
    <row r="1" customFormat="false" ht="36" hidden="false" customHeight="true" outlineLevel="0" collapsed="false">
      <c r="A1" s="7" t="s">
        <v>30</v>
      </c>
      <c r="B1" s="7" t="s">
        <v>31</v>
      </c>
      <c r="C1" s="7" t="s">
        <v>32</v>
      </c>
      <c r="D1" s="7" t="s">
        <v>33</v>
      </c>
      <c r="E1" s="7" t="s">
        <v>34</v>
      </c>
      <c r="F1" s="7" t="s">
        <v>35</v>
      </c>
      <c r="G1" s="7" t="s">
        <v>36</v>
      </c>
      <c r="H1" s="7" t="s">
        <v>37</v>
      </c>
      <c r="I1" s="7" t="s">
        <v>788</v>
      </c>
      <c r="J1" s="7" t="s">
        <v>39</v>
      </c>
      <c r="K1" s="7" t="s">
        <v>40</v>
      </c>
      <c r="L1" s="7" t="s">
        <v>41</v>
      </c>
      <c r="M1" s="7" t="s">
        <v>42</v>
      </c>
      <c r="N1" s="7" t="s">
        <v>43</v>
      </c>
      <c r="O1" s="7" t="s">
        <v>44</v>
      </c>
      <c r="P1" s="7" t="s">
        <v>46</v>
      </c>
      <c r="Q1" s="7" t="s">
        <v>47</v>
      </c>
      <c r="R1" s="7" t="s">
        <v>49</v>
      </c>
      <c r="S1" s="7" t="s">
        <v>51</v>
      </c>
      <c r="T1" s="3"/>
      <c r="U1" s="3"/>
      <c r="V1" s="3"/>
      <c r="W1" s="3"/>
      <c r="X1" s="3"/>
      <c r="Y1" s="3"/>
    </row>
    <row r="2" customFormat="false" ht="34.5" hidden="false" customHeight="true" outlineLevel="0" collapsed="false">
      <c r="A2" s="8" t="s">
        <v>672</v>
      </c>
      <c r="B2" s="9" t="s">
        <v>18</v>
      </c>
      <c r="C2" s="9" t="s">
        <v>673</v>
      </c>
      <c r="D2" s="9" t="s">
        <v>674</v>
      </c>
      <c r="E2" s="9" t="s">
        <v>675</v>
      </c>
      <c r="F2" s="9" t="s">
        <v>676</v>
      </c>
      <c r="G2" s="9" t="s">
        <v>664</v>
      </c>
      <c r="H2" s="9" t="s">
        <v>677</v>
      </c>
      <c r="I2" s="9" t="s">
        <v>678</v>
      </c>
      <c r="J2" s="9" t="s">
        <v>679</v>
      </c>
      <c r="K2" s="9" t="s">
        <v>680</v>
      </c>
      <c r="L2" s="9" t="s">
        <v>680</v>
      </c>
      <c r="M2" s="8" t="s">
        <v>63</v>
      </c>
      <c r="N2" s="9" t="s">
        <v>106</v>
      </c>
      <c r="O2" s="9" t="s">
        <v>681</v>
      </c>
      <c r="P2" s="9" t="s">
        <v>67</v>
      </c>
      <c r="Q2" s="9" t="s">
        <v>8</v>
      </c>
      <c r="R2" s="8" t="s">
        <v>14</v>
      </c>
      <c r="S2" s="9" t="s">
        <v>683</v>
      </c>
      <c r="T2" s="3"/>
      <c r="U2" s="3"/>
      <c r="V2" s="3"/>
      <c r="W2" s="3"/>
      <c r="X2" s="3"/>
      <c r="Y2" s="3"/>
    </row>
    <row r="3" customFormat="false" ht="34.5" hidden="false" customHeight="true" outlineLevel="0" collapsed="false">
      <c r="A3" s="8" t="s">
        <v>672</v>
      </c>
      <c r="B3" s="9" t="s">
        <v>18</v>
      </c>
      <c r="C3" s="9" t="s">
        <v>684</v>
      </c>
      <c r="D3" s="9" t="s">
        <v>685</v>
      </c>
      <c r="E3" s="9" t="s">
        <v>686</v>
      </c>
      <c r="F3" s="9" t="s">
        <v>687</v>
      </c>
      <c r="G3" s="9" t="s">
        <v>688</v>
      </c>
      <c r="H3" s="9" t="s">
        <v>689</v>
      </c>
      <c r="I3" s="9"/>
      <c r="J3" s="9" t="s">
        <v>690</v>
      </c>
      <c r="K3" s="9" t="s">
        <v>691</v>
      </c>
      <c r="L3" s="9" t="s">
        <v>692</v>
      </c>
      <c r="M3" s="8" t="s">
        <v>63</v>
      </c>
      <c r="N3" s="9" t="s">
        <v>106</v>
      </c>
      <c r="O3" s="9" t="s">
        <v>693</v>
      </c>
      <c r="P3" s="9" t="s">
        <v>67</v>
      </c>
      <c r="Q3" s="9" t="s">
        <v>8</v>
      </c>
      <c r="R3" s="8" t="s">
        <v>14</v>
      </c>
      <c r="S3" s="9" t="s">
        <v>695</v>
      </c>
      <c r="T3" s="3"/>
      <c r="U3" s="3"/>
      <c r="V3" s="3"/>
      <c r="W3" s="3"/>
      <c r="X3" s="3"/>
      <c r="Y3" s="3"/>
    </row>
    <row r="4" customFormat="false" ht="34.5" hidden="false" customHeight="true" outlineLevel="0" collapsed="false">
      <c r="A4" s="8" t="s">
        <v>672</v>
      </c>
      <c r="B4" s="9" t="s">
        <v>53</v>
      </c>
      <c r="C4" s="9" t="s">
        <v>696</v>
      </c>
      <c r="D4" s="9" t="s">
        <v>486</v>
      </c>
      <c r="E4" s="9" t="s">
        <v>697</v>
      </c>
      <c r="F4" s="9" t="s">
        <v>698</v>
      </c>
      <c r="G4" s="9" t="s">
        <v>699</v>
      </c>
      <c r="H4" s="9" t="s">
        <v>700</v>
      </c>
      <c r="I4" s="9" t="s">
        <v>701</v>
      </c>
      <c r="J4" s="9"/>
      <c r="K4" s="9" t="s">
        <v>702</v>
      </c>
      <c r="L4" s="9" t="s">
        <v>703</v>
      </c>
      <c r="M4" s="8" t="s">
        <v>63</v>
      </c>
      <c r="N4" s="9" t="s">
        <v>64</v>
      </c>
      <c r="O4" s="9" t="s">
        <v>704</v>
      </c>
      <c r="P4" s="9" t="s">
        <v>67</v>
      </c>
      <c r="Q4" s="9" t="s">
        <v>8</v>
      </c>
      <c r="R4" s="8" t="s">
        <v>68</v>
      </c>
      <c r="S4" s="9" t="s">
        <v>69</v>
      </c>
      <c r="T4" s="3"/>
      <c r="U4" s="3"/>
      <c r="V4" s="3"/>
      <c r="W4" s="3"/>
      <c r="X4" s="3"/>
      <c r="Y4" s="3"/>
    </row>
    <row r="5" customFormat="false" ht="34.5" hidden="false" customHeight="true" outlineLevel="0" collapsed="false">
      <c r="A5" s="8" t="s">
        <v>672</v>
      </c>
      <c r="B5" s="9" t="s">
        <v>53</v>
      </c>
      <c r="C5" s="9" t="s">
        <v>706</v>
      </c>
      <c r="D5" s="9" t="s">
        <v>707</v>
      </c>
      <c r="E5" s="9" t="s">
        <v>708</v>
      </c>
      <c r="F5" s="9" t="s">
        <v>709</v>
      </c>
      <c r="G5" s="9" t="s">
        <v>126</v>
      </c>
      <c r="H5" s="9" t="s">
        <v>710</v>
      </c>
      <c r="I5" s="9"/>
      <c r="J5" s="9"/>
      <c r="K5" s="9" t="s">
        <v>711</v>
      </c>
      <c r="L5" s="9" t="s">
        <v>712</v>
      </c>
      <c r="M5" s="8" t="s">
        <v>63</v>
      </c>
      <c r="N5" s="9" t="s">
        <v>64</v>
      </c>
      <c r="O5" s="9" t="s">
        <v>713</v>
      </c>
      <c r="P5" s="9" t="s">
        <v>80</v>
      </c>
      <c r="Q5" s="9" t="s">
        <v>81</v>
      </c>
      <c r="R5" s="8" t="s">
        <v>14</v>
      </c>
      <c r="S5" s="9" t="s">
        <v>715</v>
      </c>
      <c r="T5" s="3"/>
      <c r="U5" s="3"/>
      <c r="V5" s="3"/>
      <c r="W5" s="3"/>
      <c r="X5" s="3"/>
      <c r="Y5" s="3"/>
    </row>
    <row r="6" customFormat="false" ht="34.5" hidden="false" customHeight="true" outlineLevel="0" collapsed="false">
      <c r="A6" s="8" t="s">
        <v>672</v>
      </c>
      <c r="B6" s="9" t="s">
        <v>53</v>
      </c>
      <c r="C6" s="9" t="s">
        <v>706</v>
      </c>
      <c r="D6" s="9" t="s">
        <v>716</v>
      </c>
      <c r="E6" s="9" t="s">
        <v>717</v>
      </c>
      <c r="F6" s="9" t="s">
        <v>718</v>
      </c>
      <c r="G6" s="9" t="s">
        <v>719</v>
      </c>
      <c r="H6" s="9" t="s">
        <v>710</v>
      </c>
      <c r="I6" s="9"/>
      <c r="J6" s="9"/>
      <c r="K6" s="9" t="s">
        <v>711</v>
      </c>
      <c r="L6" s="9" t="s">
        <v>712</v>
      </c>
      <c r="M6" s="8" t="s">
        <v>63</v>
      </c>
      <c r="N6" s="9" t="s">
        <v>64</v>
      </c>
      <c r="O6" s="9" t="s">
        <v>720</v>
      </c>
      <c r="P6" s="9" t="s">
        <v>80</v>
      </c>
      <c r="Q6" s="9" t="s">
        <v>81</v>
      </c>
      <c r="R6" s="8" t="s">
        <v>14</v>
      </c>
      <c r="S6" s="9" t="s">
        <v>799</v>
      </c>
      <c r="T6" s="3"/>
      <c r="U6" s="3"/>
      <c r="V6" s="3"/>
      <c r="W6" s="3"/>
      <c r="X6" s="3"/>
      <c r="Y6" s="3"/>
    </row>
    <row r="7" customFormat="false" ht="34.5" hidden="false" customHeight="true" outlineLevel="0" collapsed="false">
      <c r="A7" s="8" t="s">
        <v>672</v>
      </c>
      <c r="B7" s="9" t="s">
        <v>53</v>
      </c>
      <c r="C7" s="9" t="s">
        <v>723</v>
      </c>
      <c r="D7" s="9" t="s">
        <v>724</v>
      </c>
      <c r="E7" s="9" t="s">
        <v>725</v>
      </c>
      <c r="F7" s="9" t="s">
        <v>726</v>
      </c>
      <c r="G7" s="9" t="s">
        <v>727</v>
      </c>
      <c r="H7" s="9" t="s">
        <v>728</v>
      </c>
      <c r="I7" s="9"/>
      <c r="J7" s="9" t="s">
        <v>729</v>
      </c>
      <c r="K7" s="9" t="s">
        <v>730</v>
      </c>
      <c r="L7" s="9" t="s">
        <v>731</v>
      </c>
      <c r="M7" s="8" t="s">
        <v>63</v>
      </c>
      <c r="N7" s="9" t="s">
        <v>64</v>
      </c>
      <c r="O7" s="9" t="s">
        <v>732</v>
      </c>
      <c r="P7" s="9" t="s">
        <v>67</v>
      </c>
      <c r="Q7" s="9" t="s">
        <v>8</v>
      </c>
      <c r="R7" s="8" t="s">
        <v>14</v>
      </c>
      <c r="S7" s="9" t="s">
        <v>734</v>
      </c>
      <c r="T7" s="3"/>
      <c r="U7" s="3"/>
      <c r="V7" s="3"/>
      <c r="W7" s="3"/>
      <c r="X7" s="3"/>
      <c r="Y7" s="3"/>
    </row>
    <row r="8" customFormat="false" ht="34.5" hidden="false" customHeight="true" outlineLevel="0" collapsed="false">
      <c r="A8" s="8" t="s">
        <v>672</v>
      </c>
      <c r="B8" s="9" t="s">
        <v>53</v>
      </c>
      <c r="C8" s="9" t="s">
        <v>735</v>
      </c>
      <c r="D8" s="9" t="s">
        <v>736</v>
      </c>
      <c r="E8" s="9" t="s">
        <v>737</v>
      </c>
      <c r="F8" s="9" t="s">
        <v>738</v>
      </c>
      <c r="G8" s="9" t="s">
        <v>739</v>
      </c>
      <c r="H8" s="9"/>
      <c r="I8" s="9"/>
      <c r="J8" s="9"/>
      <c r="K8" s="9" t="s">
        <v>740</v>
      </c>
      <c r="L8" s="9" t="s">
        <v>741</v>
      </c>
      <c r="M8" s="8" t="s">
        <v>129</v>
      </c>
      <c r="N8" s="9" t="s">
        <v>64</v>
      </c>
      <c r="O8" s="9" t="s">
        <v>742</v>
      </c>
      <c r="P8" s="9" t="s">
        <v>132</v>
      </c>
      <c r="Q8" s="9" t="s">
        <v>133</v>
      </c>
      <c r="R8" s="8" t="s">
        <v>790</v>
      </c>
      <c r="S8" s="9" t="s">
        <v>800</v>
      </c>
      <c r="T8" s="3"/>
      <c r="U8" s="3"/>
      <c r="V8" s="3"/>
      <c r="W8" s="3"/>
      <c r="X8" s="3"/>
      <c r="Y8" s="3"/>
    </row>
    <row r="9" customFormat="false" ht="34.5" hidden="false" customHeight="true" outlineLevel="0" collapsed="false">
      <c r="A9" s="8" t="s">
        <v>745</v>
      </c>
      <c r="B9" s="9" t="s">
        <v>191</v>
      </c>
      <c r="C9" s="9" t="s">
        <v>746</v>
      </c>
      <c r="D9" s="9" t="s">
        <v>747</v>
      </c>
      <c r="E9" s="9" t="s">
        <v>748</v>
      </c>
      <c r="F9" s="9" t="s">
        <v>749</v>
      </c>
      <c r="G9" s="9" t="s">
        <v>750</v>
      </c>
      <c r="H9" s="9" t="s">
        <v>751</v>
      </c>
      <c r="I9" s="9"/>
      <c r="J9" s="9"/>
      <c r="K9" s="9" t="s">
        <v>752</v>
      </c>
      <c r="L9" s="9" t="s">
        <v>752</v>
      </c>
      <c r="M9" s="8" t="s">
        <v>63</v>
      </c>
      <c r="N9" s="9" t="s">
        <v>201</v>
      </c>
      <c r="O9" s="9" t="s">
        <v>753</v>
      </c>
      <c r="P9" s="9" t="s">
        <v>67</v>
      </c>
      <c r="Q9" s="9" t="s">
        <v>8</v>
      </c>
      <c r="R9" s="8" t="s">
        <v>14</v>
      </c>
      <c r="S9" s="9" t="s">
        <v>755</v>
      </c>
      <c r="T9" s="3"/>
      <c r="U9" s="3"/>
      <c r="V9" s="3"/>
      <c r="W9" s="3"/>
      <c r="X9" s="3"/>
      <c r="Y9" s="3"/>
    </row>
    <row r="10" customFormat="false" ht="34.5" hidden="false" customHeight="true" outlineLevel="0" collapsed="false">
      <c r="A10" s="8" t="s">
        <v>756</v>
      </c>
      <c r="B10" s="9" t="s">
        <v>191</v>
      </c>
      <c r="C10" s="9" t="s">
        <v>757</v>
      </c>
      <c r="D10" s="9" t="s">
        <v>758</v>
      </c>
      <c r="E10" s="9" t="s">
        <v>759</v>
      </c>
      <c r="F10" s="9" t="s">
        <v>760</v>
      </c>
      <c r="G10" s="9" t="s">
        <v>761</v>
      </c>
      <c r="H10" s="9"/>
      <c r="I10" s="9"/>
      <c r="J10" s="9"/>
      <c r="K10" s="9" t="s">
        <v>762</v>
      </c>
      <c r="L10" s="9" t="s">
        <v>763</v>
      </c>
      <c r="M10" s="8" t="s">
        <v>63</v>
      </c>
      <c r="N10" s="9" t="s">
        <v>201</v>
      </c>
      <c r="O10" s="9" t="s">
        <v>764</v>
      </c>
      <c r="P10" s="9" t="s">
        <v>132</v>
      </c>
      <c r="Q10" s="9" t="s">
        <v>133</v>
      </c>
      <c r="R10" s="8" t="s">
        <v>790</v>
      </c>
      <c r="S10" s="9" t="s">
        <v>801</v>
      </c>
      <c r="T10" s="3"/>
      <c r="U10" s="3"/>
      <c r="V10" s="3"/>
      <c r="W10" s="3"/>
      <c r="X10" s="3"/>
      <c r="Y10" s="3"/>
    </row>
    <row r="11" customFormat="false" ht="34.5" hidden="false" customHeight="true" outlineLevel="0" collapsed="false">
      <c r="A11" s="8" t="s">
        <v>766</v>
      </c>
      <c r="B11" s="9" t="s">
        <v>191</v>
      </c>
      <c r="C11" s="9" t="s">
        <v>767</v>
      </c>
      <c r="D11" s="9" t="s">
        <v>768</v>
      </c>
      <c r="E11" s="9" t="s">
        <v>769</v>
      </c>
      <c r="F11" s="9" t="s">
        <v>770</v>
      </c>
      <c r="G11" s="9" t="s">
        <v>139</v>
      </c>
      <c r="H11" s="9" t="s">
        <v>771</v>
      </c>
      <c r="I11" s="9"/>
      <c r="J11" s="9" t="s">
        <v>772</v>
      </c>
      <c r="K11" s="9" t="s">
        <v>773</v>
      </c>
      <c r="L11" s="9" t="s">
        <v>774</v>
      </c>
      <c r="M11" s="8" t="s">
        <v>63</v>
      </c>
      <c r="N11" s="9" t="s">
        <v>201</v>
      </c>
      <c r="O11" s="9" t="s">
        <v>775</v>
      </c>
      <c r="P11" s="9" t="s">
        <v>67</v>
      </c>
      <c r="Q11" s="9" t="s">
        <v>8</v>
      </c>
      <c r="R11" s="8" t="s">
        <v>95</v>
      </c>
      <c r="S11" s="9" t="s">
        <v>777</v>
      </c>
      <c r="T11" s="3"/>
      <c r="U11" s="3"/>
      <c r="V11" s="3"/>
      <c r="W11" s="3"/>
      <c r="X11" s="3"/>
      <c r="Y11" s="3"/>
    </row>
    <row r="12" customFormat="false" ht="34.5" hidden="false" customHeight="true" outlineLevel="0" collapsed="false">
      <c r="A12" s="8" t="s">
        <v>672</v>
      </c>
      <c r="B12" s="9" t="s">
        <v>53</v>
      </c>
      <c r="C12" s="9" t="s">
        <v>778</v>
      </c>
      <c r="D12" s="9" t="s">
        <v>779</v>
      </c>
      <c r="E12" s="9" t="s">
        <v>780</v>
      </c>
      <c r="F12" s="9" t="s">
        <v>781</v>
      </c>
      <c r="G12" s="9" t="s">
        <v>344</v>
      </c>
      <c r="H12" s="9"/>
      <c r="I12" s="9"/>
      <c r="J12" s="9"/>
      <c r="K12" s="9" t="s">
        <v>782</v>
      </c>
      <c r="L12" s="9" t="s">
        <v>782</v>
      </c>
      <c r="M12" s="8" t="s">
        <v>129</v>
      </c>
      <c r="N12" s="9" t="s">
        <v>64</v>
      </c>
      <c r="O12" s="9" t="s">
        <v>783</v>
      </c>
      <c r="P12" s="9" t="s">
        <v>132</v>
      </c>
      <c r="Q12" s="9" t="s">
        <v>133</v>
      </c>
      <c r="R12" s="8" t="s">
        <v>790</v>
      </c>
      <c r="S12" s="9" t="s">
        <v>802</v>
      </c>
      <c r="T12" s="3"/>
      <c r="U12" s="3"/>
      <c r="V12" s="3"/>
      <c r="W12" s="3"/>
      <c r="X12" s="3"/>
      <c r="Y12" s="3"/>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ustomFormat="false" ht="1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ustomFormat="false" ht="1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ustomFormat="false" ht="1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ustomFormat="false" ht="1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ustomFormat="false" ht="1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ustomFormat="false" ht="1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ustomFormat="false" ht="1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ustomFormat="false" ht="1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ustomFormat="false" ht="1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ustomFormat="false" ht="1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ustomFormat="false" ht="1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ustomFormat="false" ht="1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ustomFormat="false" ht="1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ustomFormat="false" ht="1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ustomFormat="false" ht="1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ustomFormat="false" ht="1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ustomFormat="false" ht="1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ustomFormat="false" ht="1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ustomFormat="false" ht="1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ustomFormat="false" ht="1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ustomFormat="false" ht="1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ustomFormat="false" ht="1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ustomFormat="false" ht="1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ustomFormat="false" ht="1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ustomFormat="false" ht="1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ustomFormat="false" ht="1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ustomFormat="false" ht="1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ustomFormat="false" ht="1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ustomFormat="false" ht="1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ustomFormat="false" ht="1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ustomFormat="false" ht="1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ustomFormat="false" ht="1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ustomFormat="false" ht="1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ustomFormat="false" ht="1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ustomFormat="false" ht="1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ustomFormat="false" ht="1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ustomFormat="false" ht="1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ustomFormat="false" ht="1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ustomFormat="false" ht="1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ustomFormat="false" ht="1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ustomFormat="false" ht="1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ustomFormat="false" ht="1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ustomFormat="false" ht="1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ustomFormat="false" ht="1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ustomFormat="false" ht="1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ustomFormat="false" ht="1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ustomFormat="false" ht="1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ustomFormat="false" ht="1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ustomFormat="false" ht="1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ustomFormat="false" ht="1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ustomFormat="false" ht="1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ustomFormat="false" ht="1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ustomFormat="false" ht="1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ustomFormat="false" ht="1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ustomFormat="false" ht="1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ustomFormat="false" ht="1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ustomFormat="false" ht="1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ustomFormat="false" ht="1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ustomFormat="false" ht="1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ustomFormat="false" ht="1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ustomFormat="false" ht="1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ustomFormat="false" ht="1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ustomFormat="false" ht="1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ustomFormat="false" ht="1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ustomFormat="false" ht="1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ustomFormat="false" ht="1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ustomFormat="false" ht="1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ustomFormat="false" ht="1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ustomFormat="false" ht="1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ustomFormat="false" ht="1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ustomFormat="false" ht="1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ustomFormat="false" ht="1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ustomFormat="false" ht="1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ustomFormat="false" ht="1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ustomFormat="false" ht="1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ustomFormat="false" ht="1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ustomFormat="false" ht="1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ustomFormat="false" ht="1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ustomFormat="false" ht="1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ustomFormat="false" ht="1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sheetData>
  <conditionalFormatting sqref="M2:M12">
    <cfRule type="expression" priority="2" aboveAverage="0" equalAverage="0" bottom="0" percent="0" rank="0" text="" dxfId="8">
      <formula>M2="A"</formula>
    </cfRule>
    <cfRule type="expression" priority="3" aboveAverage="0" equalAverage="0" bottom="0" percent="0" rank="0" text="" dxfId="9">
      <formula>M2="B"</formula>
    </cfRule>
    <cfRule type="expression" priority="4" aboveAverage="0" equalAverage="0" bottom="0" percent="0" rank="0" text="" dxfId="10">
      <formula>M2="C"</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05"/>
  </cols>
  <sheetData>
    <row r="1" customFormat="false" ht="30" hidden="false" customHeight="true" outlineLevel="0" collapsed="false">
      <c r="A1" s="12" t="s">
        <v>803</v>
      </c>
      <c r="B1" s="12"/>
      <c r="C1" s="12"/>
      <c r="D1" s="12"/>
      <c r="E1" s="12"/>
      <c r="F1" s="12"/>
      <c r="G1" s="3"/>
      <c r="H1" s="3"/>
      <c r="I1" s="3"/>
      <c r="J1" s="3"/>
      <c r="K1" s="3"/>
      <c r="L1" s="3"/>
      <c r="M1" s="3"/>
      <c r="N1" s="3"/>
      <c r="O1" s="3"/>
      <c r="P1" s="3"/>
      <c r="Q1" s="3"/>
      <c r="R1" s="3"/>
      <c r="S1" s="3"/>
      <c r="T1" s="3"/>
      <c r="U1" s="3"/>
      <c r="V1" s="3"/>
      <c r="W1" s="3"/>
      <c r="X1" s="3"/>
      <c r="Y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row>
    <row r="3" customFormat="false" ht="15" hidden="false" customHeight="true" outlineLevel="0" collapsed="false">
      <c r="A3" s="13" t="s">
        <v>804</v>
      </c>
      <c r="B3" s="13" t="s">
        <v>805</v>
      </c>
      <c r="C3" s="3"/>
      <c r="D3" s="3"/>
      <c r="E3" s="3"/>
      <c r="F3" s="3"/>
      <c r="G3" s="3"/>
      <c r="H3" s="3"/>
      <c r="I3" s="3"/>
      <c r="J3" s="3"/>
      <c r="K3" s="3"/>
      <c r="L3" s="3"/>
      <c r="M3" s="3"/>
      <c r="N3" s="3"/>
      <c r="O3" s="3"/>
      <c r="P3" s="3"/>
      <c r="Q3" s="3"/>
      <c r="R3" s="3"/>
      <c r="S3" s="3"/>
      <c r="T3" s="3"/>
      <c r="U3" s="3"/>
      <c r="V3" s="3"/>
      <c r="W3" s="3"/>
      <c r="X3" s="3"/>
      <c r="Y3" s="3"/>
    </row>
    <row r="4" customFormat="false" ht="15" hidden="false" customHeight="true" outlineLevel="0" collapsed="false">
      <c r="A4" s="14" t="s">
        <v>806</v>
      </c>
      <c r="B4" s="14" t="s">
        <v>807</v>
      </c>
      <c r="C4" s="3"/>
      <c r="D4" s="3"/>
      <c r="E4" s="3"/>
      <c r="F4" s="3"/>
      <c r="G4" s="3"/>
      <c r="H4" s="3"/>
      <c r="I4" s="3"/>
      <c r="J4" s="3"/>
      <c r="K4" s="3"/>
      <c r="L4" s="3"/>
      <c r="M4" s="3"/>
      <c r="N4" s="3"/>
      <c r="O4" s="3"/>
      <c r="P4" s="3"/>
      <c r="Q4" s="3"/>
      <c r="R4" s="3"/>
      <c r="S4" s="3"/>
      <c r="T4" s="3"/>
      <c r="U4" s="3"/>
      <c r="V4" s="3"/>
      <c r="W4" s="3"/>
      <c r="X4" s="3"/>
      <c r="Y4" s="3"/>
    </row>
    <row r="5" customFormat="false" ht="15" hidden="false" customHeight="true" outlineLevel="0" collapsed="false">
      <c r="A5" s="14" t="s">
        <v>808</v>
      </c>
      <c r="B5" s="14" t="s">
        <v>809</v>
      </c>
      <c r="C5" s="3"/>
      <c r="D5" s="3"/>
      <c r="E5" s="3"/>
      <c r="F5" s="3"/>
      <c r="G5" s="3"/>
      <c r="H5" s="3"/>
      <c r="I5" s="3"/>
      <c r="J5" s="3"/>
      <c r="K5" s="3"/>
      <c r="L5" s="3"/>
      <c r="M5" s="3"/>
      <c r="N5" s="3"/>
      <c r="O5" s="3"/>
      <c r="P5" s="3"/>
      <c r="Q5" s="3"/>
      <c r="R5" s="3"/>
      <c r="S5" s="3"/>
      <c r="T5" s="3"/>
      <c r="U5" s="3"/>
      <c r="V5" s="3"/>
      <c r="W5" s="3"/>
      <c r="X5" s="3"/>
      <c r="Y5" s="3"/>
    </row>
    <row r="6" customFormat="false" ht="23.25" hidden="false" customHeight="true" outlineLevel="0" collapsed="false">
      <c r="A6" s="14" t="s">
        <v>810</v>
      </c>
      <c r="B6" s="14" t="s">
        <v>811</v>
      </c>
      <c r="C6" s="3"/>
      <c r="D6" s="3"/>
      <c r="E6" s="3"/>
      <c r="F6" s="3"/>
      <c r="G6" s="3"/>
      <c r="H6" s="3"/>
      <c r="I6" s="3"/>
      <c r="J6" s="3"/>
      <c r="K6" s="3"/>
      <c r="L6" s="3"/>
      <c r="M6" s="3"/>
      <c r="N6" s="3"/>
      <c r="O6" s="3"/>
      <c r="P6" s="3"/>
      <c r="Q6" s="3"/>
      <c r="R6" s="3"/>
      <c r="S6" s="3"/>
      <c r="T6" s="3"/>
      <c r="U6" s="3"/>
      <c r="V6" s="3"/>
      <c r="W6" s="3"/>
      <c r="X6" s="3"/>
      <c r="Y6" s="3"/>
    </row>
    <row r="7" customFormat="false" ht="23.25" hidden="false" customHeight="true" outlineLevel="0" collapsed="false">
      <c r="A7" s="14" t="s">
        <v>812</v>
      </c>
      <c r="B7" s="14" t="s">
        <v>813</v>
      </c>
      <c r="C7" s="3"/>
      <c r="D7" s="3"/>
      <c r="E7" s="3"/>
      <c r="F7" s="3"/>
      <c r="G7" s="3"/>
      <c r="H7" s="3"/>
      <c r="I7" s="3"/>
      <c r="J7" s="3"/>
      <c r="K7" s="3"/>
      <c r="L7" s="3"/>
      <c r="M7" s="3"/>
      <c r="N7" s="3"/>
      <c r="O7" s="3"/>
      <c r="P7" s="3"/>
      <c r="Q7" s="3"/>
      <c r="R7" s="3"/>
      <c r="S7" s="3"/>
      <c r="T7" s="3"/>
      <c r="U7" s="3"/>
      <c r="V7" s="3"/>
      <c r="W7" s="3"/>
      <c r="X7" s="3"/>
      <c r="Y7" s="3"/>
    </row>
    <row r="8" customFormat="false" ht="34.5" hidden="false" customHeight="true" outlineLevel="0" collapsed="false">
      <c r="A8" s="14" t="s">
        <v>814</v>
      </c>
      <c r="B8" s="14" t="s">
        <v>815</v>
      </c>
      <c r="C8" s="3"/>
      <c r="D8" s="3"/>
      <c r="E8" s="3"/>
      <c r="F8" s="3"/>
      <c r="G8" s="3"/>
      <c r="H8" s="3"/>
      <c r="I8" s="3"/>
      <c r="J8" s="3"/>
      <c r="K8" s="3"/>
      <c r="L8" s="3"/>
      <c r="M8" s="3"/>
      <c r="N8" s="3"/>
      <c r="O8" s="3"/>
      <c r="P8" s="3"/>
      <c r="Q8" s="3"/>
      <c r="R8" s="3"/>
      <c r="S8" s="3"/>
      <c r="T8" s="3"/>
      <c r="U8" s="3"/>
      <c r="V8" s="3"/>
      <c r="W8" s="3"/>
      <c r="X8" s="3"/>
      <c r="Y8" s="3"/>
    </row>
    <row r="9" customFormat="false" ht="23.25" hidden="false" customHeight="true" outlineLevel="0" collapsed="false">
      <c r="A9" s="14" t="s">
        <v>816</v>
      </c>
      <c r="B9" s="14" t="s">
        <v>817</v>
      </c>
      <c r="C9" s="3"/>
      <c r="D9" s="3"/>
      <c r="E9" s="3"/>
      <c r="F9" s="3"/>
      <c r="G9" s="3"/>
      <c r="H9" s="3"/>
      <c r="I9" s="3"/>
      <c r="J9" s="3"/>
      <c r="K9" s="3"/>
      <c r="L9" s="3"/>
      <c r="M9" s="3"/>
      <c r="N9" s="3"/>
      <c r="O9" s="3"/>
      <c r="P9" s="3"/>
      <c r="Q9" s="3"/>
      <c r="R9" s="3"/>
      <c r="S9" s="3"/>
      <c r="T9" s="3"/>
      <c r="U9" s="3"/>
      <c r="V9" s="3"/>
      <c r="W9" s="3"/>
      <c r="X9" s="3"/>
      <c r="Y9" s="3"/>
    </row>
    <row r="10" customFormat="false" ht="23.25" hidden="false" customHeight="true" outlineLevel="0" collapsed="false">
      <c r="A10" s="14" t="s">
        <v>818</v>
      </c>
      <c r="B10" s="14" t="s">
        <v>819</v>
      </c>
      <c r="C10" s="3"/>
      <c r="D10" s="3"/>
      <c r="E10" s="3"/>
      <c r="F10" s="3"/>
      <c r="G10" s="3"/>
      <c r="H10" s="3"/>
      <c r="I10" s="3"/>
      <c r="J10" s="3"/>
      <c r="K10" s="3"/>
      <c r="L10" s="3"/>
      <c r="M10" s="3"/>
      <c r="N10" s="3"/>
      <c r="O10" s="3"/>
      <c r="P10" s="3"/>
      <c r="Q10" s="3"/>
      <c r="R10" s="3"/>
      <c r="S10" s="3"/>
      <c r="T10" s="3"/>
      <c r="U10" s="3"/>
      <c r="V10" s="3"/>
      <c r="W10" s="3"/>
      <c r="X10" s="3"/>
      <c r="Y10" s="3"/>
    </row>
    <row r="11" customFormat="false" ht="45.75" hidden="false" customHeight="true" outlineLevel="0" collapsed="false">
      <c r="A11" s="14" t="s">
        <v>820</v>
      </c>
      <c r="B11" s="14" t="s">
        <v>821</v>
      </c>
      <c r="C11" s="3"/>
      <c r="D11" s="3"/>
      <c r="E11" s="3"/>
      <c r="F11" s="3"/>
      <c r="G11" s="3"/>
      <c r="H11" s="3"/>
      <c r="I11" s="3"/>
      <c r="J11" s="3"/>
      <c r="K11" s="3"/>
      <c r="L11" s="3"/>
      <c r="M11" s="3"/>
      <c r="N11" s="3"/>
      <c r="O11" s="3"/>
      <c r="P11" s="3"/>
      <c r="Q11" s="3"/>
      <c r="R11" s="3"/>
      <c r="S11" s="3"/>
      <c r="T11" s="3"/>
      <c r="U11" s="3"/>
      <c r="V11" s="3"/>
      <c r="W11" s="3"/>
      <c r="X11" s="3"/>
      <c r="Y11" s="3"/>
    </row>
    <row r="12" customFormat="false" ht="15" hidden="false" customHeight="true" outlineLevel="0" collapsed="false">
      <c r="A12" s="14" t="s">
        <v>822</v>
      </c>
      <c r="B12" s="14" t="s">
        <v>823</v>
      </c>
      <c r="C12" s="3"/>
      <c r="D12" s="3"/>
      <c r="E12" s="3"/>
      <c r="F12" s="3"/>
      <c r="G12" s="3"/>
      <c r="H12" s="3"/>
      <c r="I12" s="3"/>
      <c r="J12" s="3"/>
      <c r="K12" s="3"/>
      <c r="L12" s="3"/>
      <c r="M12" s="3"/>
      <c r="N12" s="3"/>
      <c r="O12" s="3"/>
      <c r="P12" s="3"/>
      <c r="Q12" s="3"/>
      <c r="R12" s="3"/>
      <c r="S12" s="3"/>
      <c r="T12" s="3"/>
      <c r="U12" s="3"/>
      <c r="V12" s="3"/>
      <c r="W12" s="3"/>
      <c r="X12" s="3"/>
      <c r="Y12" s="3"/>
    </row>
    <row r="13" customFormat="false" ht="15" hidden="false" customHeight="true" outlineLevel="0" collapsed="false">
      <c r="A13" s="14" t="s">
        <v>824</v>
      </c>
      <c r="B13" s="14" t="s">
        <v>825</v>
      </c>
      <c r="C13" s="3"/>
      <c r="D13" s="3"/>
      <c r="E13" s="3"/>
      <c r="F13" s="3"/>
      <c r="G13" s="3"/>
      <c r="H13" s="3"/>
      <c r="I13" s="3"/>
      <c r="J13" s="3"/>
      <c r="K13" s="3"/>
      <c r="L13" s="3"/>
      <c r="M13" s="3"/>
      <c r="N13" s="3"/>
      <c r="O13" s="3"/>
      <c r="P13" s="3"/>
      <c r="Q13" s="3"/>
      <c r="R13" s="3"/>
      <c r="S13" s="3"/>
      <c r="T13" s="3"/>
      <c r="U13" s="3"/>
      <c r="V13" s="3"/>
      <c r="W13" s="3"/>
      <c r="X13" s="3"/>
      <c r="Y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ustomFormat="false" ht="1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ustomFormat="false" ht="1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ustomFormat="false" ht="1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ustomFormat="false" ht="1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ustomFormat="false" ht="1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ustomFormat="false" ht="1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ustomFormat="false" ht="1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ustomFormat="false" ht="1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ustomFormat="false" ht="1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ustomFormat="false" ht="1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ustomFormat="false" ht="1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ustomFormat="false" ht="1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ustomFormat="false" ht="1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ustomFormat="false" ht="1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ustomFormat="false" ht="1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ustomFormat="false" ht="1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ustomFormat="false" ht="1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ustomFormat="false" ht="1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ustomFormat="false" ht="1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ustomFormat="false" ht="1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ustomFormat="false" ht="1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ustomFormat="false" ht="1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ustomFormat="false" ht="1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ustomFormat="false" ht="1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ustomFormat="false" ht="1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ustomFormat="false" ht="1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ustomFormat="false" ht="1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ustomFormat="false" ht="1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ustomFormat="false" ht="1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ustomFormat="false" ht="1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ustomFormat="false" ht="1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ustomFormat="false" ht="1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ustomFormat="false" ht="1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ustomFormat="false" ht="1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ustomFormat="false" ht="1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ustomFormat="false" ht="1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ustomFormat="false" ht="1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ustomFormat="false" ht="1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ustomFormat="false" ht="1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ustomFormat="false" ht="1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ustomFormat="false" ht="1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ustomFormat="false" ht="1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ustomFormat="false" ht="1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ustomFormat="false" ht="1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ustomFormat="false" ht="1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ustomFormat="false" ht="1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ustomFormat="false" ht="1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ustomFormat="false" ht="1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ustomFormat="false" ht="1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ustomFormat="false" ht="1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ustomFormat="false" ht="1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ustomFormat="false" ht="1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ustomFormat="false" ht="1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ustomFormat="false" ht="1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ustomFormat="false" ht="1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ustomFormat="false" ht="1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ustomFormat="false" ht="1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ustomFormat="false" ht="1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ustomFormat="false" ht="1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ustomFormat="false" ht="1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ustomFormat="false" ht="1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ustomFormat="false" ht="1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ustomFormat="false" ht="1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ustomFormat="false" ht="1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ustomFormat="false" ht="1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ustomFormat="false" ht="1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ustomFormat="false" ht="1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ustomFormat="false" ht="1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ustomFormat="false" ht="1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ustomFormat="false" ht="1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ustomFormat="false" ht="1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ustomFormat="false" ht="1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ustomFormat="false" ht="1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ustomFormat="false" ht="1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ustomFormat="false" ht="1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ustomFormat="false" ht="1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ustomFormat="false" ht="1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ustomFormat="false" ht="1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ustomFormat="false" ht="1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ustomFormat="false" ht="1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2026-09-26T06:16:04Z</dcterms:created>
  <dc:creator>openpyxl</dc:creator>
  <dc:description/>
  <dc:language>en-US</dc:language>
  <cp:lastModifiedBy/>
  <dcterms:modified xsi:type="dcterms:W3CDTF">2026-09-26T08:20:16Z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